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onnor.sagan\Downloads\"/>
    </mc:Choice>
  </mc:AlternateContent>
  <xr:revisionPtr revIDLastSave="0" documentId="8_{CF108E67-DB1D-4858-843F-DBCE7473A849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ProjectCost" sheetId="1" state="hidden" r:id="rId1"/>
    <sheet name="StateAvg" sheetId="2" r:id="rId2"/>
    <sheet name="ProjectCost_Sorted" sheetId="3" r:id="rId3"/>
    <sheet name="State_AR" sheetId="4" r:id="rId4"/>
    <sheet name="State_LA" sheetId="5" r:id="rId5"/>
    <sheet name="State_MS" sheetId="6" r:id="rId6"/>
    <sheet name="State_TX" sheetId="7" r:id="rId7"/>
  </sheets>
  <definedNames>
    <definedName name="_xlnm._FilterDatabase" localSheetId="0" hidden="1">ProjectCost!$A$1:$O$122</definedName>
    <definedName name="_xlnm._FilterDatabase" localSheetId="2" hidden="1">ProjectCost_Sorted!$A$1:$R$122</definedName>
    <definedName name="_xlnm._FilterDatabase" localSheetId="3" hidden="1">State_AR!$A$1:$R$1</definedName>
    <definedName name="_xlnm._FilterDatabase" localSheetId="4" hidden="1">State_LA!$A$1:$R$36</definedName>
    <definedName name="_xlnm._FilterDatabase" localSheetId="5" hidden="1">State_MS!$A$1:$R$1</definedName>
    <definedName name="_xlnm._FilterDatabase" localSheetId="6" hidden="1">State_TX!$A$1:$R$1</definedName>
    <definedName name="_xlnm._FilterDatabase" localSheetId="1" hidden="1">StateAvg!$A$1:$E$122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4" i="2"/>
  <c r="E3" i="2"/>
  <c r="E2" i="2"/>
  <c r="Q4" i="7"/>
  <c r="P4" i="7"/>
  <c r="O4" i="7"/>
  <c r="P5" i="7"/>
  <c r="Q5" i="7" s="1"/>
  <c r="O5" i="7"/>
  <c r="P3" i="7"/>
  <c r="Q3" i="7" s="1"/>
  <c r="O3" i="7"/>
  <c r="P8" i="7"/>
  <c r="Q8" i="7" s="1"/>
  <c r="O8" i="7"/>
  <c r="P6" i="7"/>
  <c r="Q6" i="7" s="1"/>
  <c r="O6" i="7"/>
  <c r="P7" i="7"/>
  <c r="Q7" i="7" s="1"/>
  <c r="O7" i="7"/>
  <c r="P2" i="7"/>
  <c r="Q2" i="7" s="1"/>
  <c r="U3" i="7" s="1"/>
  <c r="O2" i="7"/>
  <c r="P4" i="6"/>
  <c r="Q4" i="6" s="1"/>
  <c r="O4" i="6"/>
  <c r="P3" i="6"/>
  <c r="Q3" i="6" s="1"/>
  <c r="O3" i="6"/>
  <c r="P9" i="6"/>
  <c r="Q9" i="6" s="1"/>
  <c r="O9" i="6"/>
  <c r="P13" i="6"/>
  <c r="Q13" i="6" s="1"/>
  <c r="O13" i="6"/>
  <c r="P8" i="6"/>
  <c r="Q8" i="6" s="1"/>
  <c r="O8" i="6"/>
  <c r="P19" i="6"/>
  <c r="Q19" i="6" s="1"/>
  <c r="O19" i="6"/>
  <c r="P20" i="6"/>
  <c r="Q20" i="6" s="1"/>
  <c r="O20" i="6"/>
  <c r="P5" i="6"/>
  <c r="Q5" i="6" s="1"/>
  <c r="O5" i="6"/>
  <c r="P17" i="6"/>
  <c r="Q17" i="6" s="1"/>
  <c r="O17" i="6"/>
  <c r="Q23" i="6"/>
  <c r="P23" i="6"/>
  <c r="O23" i="6"/>
  <c r="P11" i="6"/>
  <c r="Q11" i="6" s="1"/>
  <c r="O11" i="6"/>
  <c r="P14" i="6"/>
  <c r="Q14" i="6" s="1"/>
  <c r="O14" i="6"/>
  <c r="P18" i="6"/>
  <c r="Q18" i="6" s="1"/>
  <c r="O18" i="6"/>
  <c r="P2" i="6"/>
  <c r="Q2" i="6" s="1"/>
  <c r="O2" i="6"/>
  <c r="P22" i="6"/>
  <c r="Q22" i="6" s="1"/>
  <c r="O22" i="6"/>
  <c r="P16" i="6"/>
  <c r="Q16" i="6" s="1"/>
  <c r="O16" i="6"/>
  <c r="P21" i="6"/>
  <c r="Q21" i="6" s="1"/>
  <c r="O21" i="6"/>
  <c r="P15" i="6"/>
  <c r="Q15" i="6" s="1"/>
  <c r="O15" i="6"/>
  <c r="P25" i="6"/>
  <c r="Q25" i="6" s="1"/>
  <c r="O25" i="6"/>
  <c r="P10" i="6"/>
  <c r="Q10" i="6" s="1"/>
  <c r="O10" i="6"/>
  <c r="P7" i="6"/>
  <c r="Q7" i="6" s="1"/>
  <c r="O7" i="6"/>
  <c r="P12" i="6"/>
  <c r="Q12" i="6" s="1"/>
  <c r="O12" i="6"/>
  <c r="P6" i="6"/>
  <c r="Q6" i="6" s="1"/>
  <c r="O6" i="6"/>
  <c r="P24" i="6"/>
  <c r="Q24" i="6" s="1"/>
  <c r="O24" i="6"/>
  <c r="W26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7" i="5"/>
  <c r="W28" i="5"/>
  <c r="W29" i="5"/>
  <c r="W30" i="5"/>
  <c r="W31" i="5"/>
  <c r="W32" i="5"/>
  <c r="W33" i="5"/>
  <c r="W34" i="5"/>
  <c r="W35" i="5"/>
  <c r="W36" i="5"/>
  <c r="W11" i="5"/>
  <c r="W10" i="5"/>
  <c r="W9" i="5"/>
  <c r="W8" i="5"/>
  <c r="W7" i="5"/>
  <c r="W6" i="5"/>
  <c r="W5" i="5"/>
  <c r="W4" i="5"/>
  <c r="W3" i="5"/>
  <c r="W2" i="5"/>
  <c r="P29" i="5"/>
  <c r="Q29" i="5" s="1"/>
  <c r="O29" i="5"/>
  <c r="P19" i="5"/>
  <c r="Q19" i="5" s="1"/>
  <c r="O19" i="5"/>
  <c r="Q18" i="5"/>
  <c r="P18" i="5"/>
  <c r="O18" i="5"/>
  <c r="P4" i="5"/>
  <c r="Q4" i="5" s="1"/>
  <c r="O4" i="5"/>
  <c r="P6" i="5"/>
  <c r="Q6" i="5" s="1"/>
  <c r="O6" i="5"/>
  <c r="P33" i="5"/>
  <c r="Q33" i="5" s="1"/>
  <c r="O33" i="5"/>
  <c r="P21" i="5"/>
  <c r="Q21" i="5" s="1"/>
  <c r="O21" i="5"/>
  <c r="P35" i="5"/>
  <c r="Q35" i="5" s="1"/>
  <c r="O35" i="5"/>
  <c r="P13" i="5"/>
  <c r="Q13" i="5" s="1"/>
  <c r="O13" i="5"/>
  <c r="Q5" i="5"/>
  <c r="P5" i="5"/>
  <c r="O5" i="5"/>
  <c r="P17" i="5"/>
  <c r="Q17" i="5" s="1"/>
  <c r="O17" i="5"/>
  <c r="P10" i="5"/>
  <c r="Q10" i="5" s="1"/>
  <c r="O10" i="5"/>
  <c r="P2" i="5"/>
  <c r="Q2" i="5" s="1"/>
  <c r="O2" i="5"/>
  <c r="P34" i="5"/>
  <c r="Q34" i="5" s="1"/>
  <c r="O34" i="5"/>
  <c r="P26" i="5"/>
  <c r="Q26" i="5" s="1"/>
  <c r="O26" i="5"/>
  <c r="P22" i="5"/>
  <c r="Q22" i="5" s="1"/>
  <c r="O22" i="5"/>
  <c r="P12" i="5"/>
  <c r="Q12" i="5" s="1"/>
  <c r="O12" i="5"/>
  <c r="P24" i="5"/>
  <c r="Q24" i="5" s="1"/>
  <c r="O24" i="5"/>
  <c r="P25" i="5"/>
  <c r="Q25" i="5" s="1"/>
  <c r="O25" i="5"/>
  <c r="P3" i="5"/>
  <c r="Q3" i="5" s="1"/>
  <c r="O3" i="5"/>
  <c r="P11" i="5"/>
  <c r="Q11" i="5" s="1"/>
  <c r="O11" i="5"/>
  <c r="P32" i="5"/>
  <c r="Q32" i="5" s="1"/>
  <c r="O32" i="5"/>
  <c r="P15" i="5"/>
  <c r="Q15" i="5" s="1"/>
  <c r="O15" i="5"/>
  <c r="Q8" i="5"/>
  <c r="P8" i="5"/>
  <c r="O8" i="5"/>
  <c r="P9" i="5"/>
  <c r="Q9" i="5" s="1"/>
  <c r="O9" i="5"/>
  <c r="P36" i="5"/>
  <c r="Q36" i="5" s="1"/>
  <c r="O36" i="5"/>
  <c r="P20" i="5"/>
  <c r="Q20" i="5" s="1"/>
  <c r="O20" i="5"/>
  <c r="P30" i="5"/>
  <c r="Q30" i="5" s="1"/>
  <c r="O30" i="5"/>
  <c r="N27" i="5"/>
  <c r="P27" i="5" s="1"/>
  <c r="Q27" i="5" s="1"/>
  <c r="P7" i="5"/>
  <c r="Q7" i="5" s="1"/>
  <c r="O7" i="5"/>
  <c r="P16" i="5"/>
  <c r="Q16" i="5" s="1"/>
  <c r="O16" i="5"/>
  <c r="P23" i="5"/>
  <c r="Q23" i="5" s="1"/>
  <c r="O23" i="5"/>
  <c r="P14" i="5"/>
  <c r="Q14" i="5" s="1"/>
  <c r="O14" i="5"/>
  <c r="P28" i="5"/>
  <c r="Q28" i="5" s="1"/>
  <c r="O28" i="5"/>
  <c r="P31" i="5"/>
  <c r="Q31" i="5" s="1"/>
  <c r="O31" i="5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2" i="4"/>
  <c r="U3" i="4"/>
  <c r="U4" i="4"/>
  <c r="N87" i="3"/>
  <c r="P87" i="3" s="1"/>
  <c r="Q87" i="3" s="1"/>
  <c r="O70" i="3"/>
  <c r="P56" i="4"/>
  <c r="Q56" i="4" s="1"/>
  <c r="O56" i="4"/>
  <c r="Q55" i="4"/>
  <c r="P55" i="4"/>
  <c r="O55" i="4"/>
  <c r="P54" i="4"/>
  <c r="Q54" i="4" s="1"/>
  <c r="O54" i="4"/>
  <c r="P53" i="4"/>
  <c r="Q53" i="4" s="1"/>
  <c r="O53" i="4"/>
  <c r="P52" i="4"/>
  <c r="Q52" i="4" s="1"/>
  <c r="O52" i="4"/>
  <c r="P51" i="4"/>
  <c r="Q51" i="4" s="1"/>
  <c r="O51" i="4"/>
  <c r="P50" i="4"/>
  <c r="Q50" i="4" s="1"/>
  <c r="O50" i="4"/>
  <c r="P49" i="4"/>
  <c r="Q49" i="4" s="1"/>
  <c r="O49" i="4"/>
  <c r="P48" i="4"/>
  <c r="Q48" i="4" s="1"/>
  <c r="O48" i="4"/>
  <c r="P47" i="4"/>
  <c r="Q47" i="4" s="1"/>
  <c r="O47" i="4"/>
  <c r="P46" i="4"/>
  <c r="Q46" i="4" s="1"/>
  <c r="O46" i="4"/>
  <c r="P45" i="4"/>
  <c r="Q45" i="4" s="1"/>
  <c r="O45" i="4"/>
  <c r="P44" i="4"/>
  <c r="Q44" i="4" s="1"/>
  <c r="O44" i="4"/>
  <c r="P43" i="4"/>
  <c r="Q43" i="4" s="1"/>
  <c r="O43" i="4"/>
  <c r="P42" i="4"/>
  <c r="Q42" i="4" s="1"/>
  <c r="O42" i="4"/>
  <c r="P41" i="4"/>
  <c r="Q41" i="4" s="1"/>
  <c r="O41" i="4"/>
  <c r="P40" i="4"/>
  <c r="Q40" i="4" s="1"/>
  <c r="O40" i="4"/>
  <c r="N39" i="4"/>
  <c r="O39" i="4" s="1"/>
  <c r="P38" i="4"/>
  <c r="Q38" i="4" s="1"/>
  <c r="O38" i="4"/>
  <c r="P37" i="4"/>
  <c r="Q37" i="4" s="1"/>
  <c r="O37" i="4"/>
  <c r="Q36" i="4"/>
  <c r="P36" i="4"/>
  <c r="O36" i="4"/>
  <c r="P35" i="4"/>
  <c r="Q35" i="4" s="1"/>
  <c r="O35" i="4"/>
  <c r="P34" i="4"/>
  <c r="Q34" i="4" s="1"/>
  <c r="O34" i="4"/>
  <c r="N34" i="4"/>
  <c r="P33" i="4"/>
  <c r="Q33" i="4" s="1"/>
  <c r="O33" i="4"/>
  <c r="P32" i="4"/>
  <c r="Q32" i="4" s="1"/>
  <c r="O32" i="4"/>
  <c r="N31" i="4"/>
  <c r="P31" i="4" s="1"/>
  <c r="Q31" i="4" s="1"/>
  <c r="P30" i="4"/>
  <c r="Q30" i="4" s="1"/>
  <c r="O30" i="4"/>
  <c r="P29" i="4"/>
  <c r="Q29" i="4" s="1"/>
  <c r="O29" i="4"/>
  <c r="P28" i="4"/>
  <c r="Q28" i="4" s="1"/>
  <c r="O28" i="4"/>
  <c r="P27" i="4"/>
  <c r="Q27" i="4" s="1"/>
  <c r="O27" i="4"/>
  <c r="P26" i="4"/>
  <c r="Q26" i="4" s="1"/>
  <c r="O26" i="4"/>
  <c r="P25" i="4"/>
  <c r="Q25" i="4" s="1"/>
  <c r="O25" i="4"/>
  <c r="P24" i="4"/>
  <c r="Q24" i="4" s="1"/>
  <c r="O24" i="4"/>
  <c r="P23" i="4"/>
  <c r="Q23" i="4" s="1"/>
  <c r="O23" i="4"/>
  <c r="P22" i="4"/>
  <c r="Q22" i="4" s="1"/>
  <c r="O22" i="4"/>
  <c r="P21" i="4"/>
  <c r="Q21" i="4" s="1"/>
  <c r="O21" i="4"/>
  <c r="P20" i="4"/>
  <c r="Q20" i="4" s="1"/>
  <c r="O20" i="4"/>
  <c r="P19" i="4"/>
  <c r="Q19" i="4" s="1"/>
  <c r="O19" i="4"/>
  <c r="Q18" i="4"/>
  <c r="P18" i="4"/>
  <c r="O18" i="4"/>
  <c r="P17" i="4"/>
  <c r="Q17" i="4" s="1"/>
  <c r="O17" i="4"/>
  <c r="P16" i="4"/>
  <c r="Q16" i="4" s="1"/>
  <c r="O16" i="4"/>
  <c r="P15" i="4"/>
  <c r="Q15" i="4" s="1"/>
  <c r="O15" i="4"/>
  <c r="P14" i="4"/>
  <c r="Q14" i="4" s="1"/>
  <c r="O14" i="4"/>
  <c r="P13" i="4"/>
  <c r="Q13" i="4" s="1"/>
  <c r="O13" i="4"/>
  <c r="P12" i="4"/>
  <c r="Q12" i="4" s="1"/>
  <c r="O12" i="4"/>
  <c r="P11" i="4"/>
  <c r="Q11" i="4" s="1"/>
  <c r="O11" i="4"/>
  <c r="P10" i="4"/>
  <c r="Q10" i="4" s="1"/>
  <c r="O10" i="4"/>
  <c r="N9" i="4"/>
  <c r="P9" i="4" s="1"/>
  <c r="Q9" i="4" s="1"/>
  <c r="P8" i="4"/>
  <c r="Q8" i="4" s="1"/>
  <c r="O8" i="4"/>
  <c r="P7" i="4"/>
  <c r="Q7" i="4" s="1"/>
  <c r="O7" i="4"/>
  <c r="P6" i="4"/>
  <c r="Q6" i="4" s="1"/>
  <c r="O6" i="4"/>
  <c r="P5" i="4"/>
  <c r="Q5" i="4" s="1"/>
  <c r="O5" i="4"/>
  <c r="P4" i="4"/>
  <c r="Q4" i="4" s="1"/>
  <c r="O4" i="4"/>
  <c r="P3" i="4"/>
  <c r="Q3" i="4" s="1"/>
  <c r="O3" i="4"/>
  <c r="P2" i="4"/>
  <c r="Q2" i="4" s="1"/>
  <c r="O2" i="4"/>
  <c r="N88" i="3"/>
  <c r="N77" i="3"/>
  <c r="P77" i="3" s="1"/>
  <c r="Q77" i="3" s="1"/>
  <c r="N72" i="3"/>
  <c r="N21" i="3"/>
  <c r="O21" i="3" s="1"/>
  <c r="O5" i="3"/>
  <c r="P5" i="3"/>
  <c r="Q5" i="3" s="1"/>
  <c r="O7" i="3"/>
  <c r="P7" i="3"/>
  <c r="Q7" i="3" s="1"/>
  <c r="O8" i="3"/>
  <c r="P8" i="3"/>
  <c r="Q8" i="3" s="1"/>
  <c r="O14" i="3"/>
  <c r="P14" i="3"/>
  <c r="Q14" i="3" s="1"/>
  <c r="O13" i="3"/>
  <c r="P13" i="3"/>
  <c r="Q13" i="3" s="1"/>
  <c r="O15" i="3"/>
  <c r="P15" i="3"/>
  <c r="Q15" i="3" s="1"/>
  <c r="O33" i="3"/>
  <c r="P33" i="3"/>
  <c r="Q33" i="3" s="1"/>
  <c r="O41" i="3"/>
  <c r="P41" i="3"/>
  <c r="Q41" i="3" s="1"/>
  <c r="O34" i="3"/>
  <c r="P34" i="3"/>
  <c r="Q34" i="3" s="1"/>
  <c r="O26" i="3"/>
  <c r="P26" i="3"/>
  <c r="Q26" i="3" s="1"/>
  <c r="O38" i="3"/>
  <c r="P38" i="3"/>
  <c r="Q38" i="3" s="1"/>
  <c r="O56" i="3"/>
  <c r="P56" i="3"/>
  <c r="Q56" i="3" s="1"/>
  <c r="O57" i="3"/>
  <c r="P57" i="3"/>
  <c r="Q57" i="3" s="1"/>
  <c r="O60" i="3"/>
  <c r="P60" i="3"/>
  <c r="Q60" i="3" s="1"/>
  <c r="O71" i="3"/>
  <c r="P71" i="3"/>
  <c r="Q71" i="3" s="1"/>
  <c r="O92" i="3"/>
  <c r="P92" i="3"/>
  <c r="Q92" i="3" s="1"/>
  <c r="O79" i="3"/>
  <c r="P79" i="3"/>
  <c r="Q79" i="3" s="1"/>
  <c r="O81" i="3"/>
  <c r="P81" i="3"/>
  <c r="Q81" i="3" s="1"/>
  <c r="O68" i="3"/>
  <c r="P68" i="3"/>
  <c r="Q68" i="3" s="1"/>
  <c r="O65" i="3"/>
  <c r="P65" i="3"/>
  <c r="Q65" i="3" s="1"/>
  <c r="O85" i="3"/>
  <c r="P85" i="3"/>
  <c r="Q85" i="3" s="1"/>
  <c r="O89" i="3"/>
  <c r="P89" i="3"/>
  <c r="Q89" i="3" s="1"/>
  <c r="O101" i="3"/>
  <c r="P101" i="3"/>
  <c r="Q101" i="3" s="1"/>
  <c r="O107" i="3"/>
  <c r="P107" i="3"/>
  <c r="Q107" i="3" s="1"/>
  <c r="O2" i="3"/>
  <c r="O9" i="3"/>
  <c r="O112" i="3"/>
  <c r="P2" i="3"/>
  <c r="Q2" i="3" s="1"/>
  <c r="P74" i="3"/>
  <c r="Q74" i="3" s="1"/>
  <c r="O16" i="3"/>
  <c r="P6" i="3"/>
  <c r="O6" i="3"/>
  <c r="O10" i="3"/>
  <c r="O4" i="3"/>
  <c r="O12" i="3"/>
  <c r="O11" i="3"/>
  <c r="O17" i="3"/>
  <c r="O19" i="3"/>
  <c r="O20" i="3"/>
  <c r="O18" i="3"/>
  <c r="O29" i="3"/>
  <c r="O31" i="3"/>
  <c r="O27" i="3"/>
  <c r="O35" i="3"/>
  <c r="O36" i="3"/>
  <c r="O22" i="3"/>
  <c r="O24" i="3"/>
  <c r="O25" i="3"/>
  <c r="O37" i="3"/>
  <c r="O32" i="3"/>
  <c r="O28" i="3"/>
  <c r="O30" i="3"/>
  <c r="O44" i="3"/>
  <c r="O45" i="3"/>
  <c r="O23" i="3"/>
  <c r="O40" i="3"/>
  <c r="O39" i="3"/>
  <c r="O42" i="3"/>
  <c r="O51" i="3"/>
  <c r="O55" i="3"/>
  <c r="O43" i="3"/>
  <c r="O46" i="3"/>
  <c r="O48" i="3"/>
  <c r="O52" i="3"/>
  <c r="O54" i="3"/>
  <c r="O47" i="3"/>
  <c r="O74" i="3"/>
  <c r="O50" i="3"/>
  <c r="O53" i="3"/>
  <c r="O67" i="3"/>
  <c r="O73" i="3"/>
  <c r="O61" i="3"/>
  <c r="O49" i="3"/>
  <c r="O58" i="3"/>
  <c r="O75" i="3"/>
  <c r="O66" i="3"/>
  <c r="O59" i="3"/>
  <c r="O72" i="3"/>
  <c r="O64" i="3"/>
  <c r="O69" i="3"/>
  <c r="O83" i="3"/>
  <c r="O76" i="3"/>
  <c r="O82" i="3"/>
  <c r="O78" i="3"/>
  <c r="O90" i="3"/>
  <c r="O62" i="3"/>
  <c r="O86" i="3"/>
  <c r="O104" i="3"/>
  <c r="O105" i="3"/>
  <c r="O102" i="3"/>
  <c r="O84" i="3"/>
  <c r="O88" i="3"/>
  <c r="O96" i="3"/>
  <c r="O80" i="3"/>
  <c r="O98" i="3"/>
  <c r="O91" i="3"/>
  <c r="O95" i="3"/>
  <c r="O106" i="3"/>
  <c r="O97" i="3"/>
  <c r="O99" i="3"/>
  <c r="O94" i="3"/>
  <c r="O63" i="3"/>
  <c r="O100" i="3"/>
  <c r="O108" i="3"/>
  <c r="O110" i="3"/>
  <c r="O115" i="3"/>
  <c r="O103" i="3"/>
  <c r="O113" i="3"/>
  <c r="O116" i="3"/>
  <c r="O119" i="3"/>
  <c r="O120" i="3"/>
  <c r="O117" i="3"/>
  <c r="O93" i="3"/>
  <c r="O109" i="3"/>
  <c r="O118" i="3"/>
  <c r="O111" i="3"/>
  <c r="O122" i="3"/>
  <c r="O114" i="3"/>
  <c r="O121" i="3"/>
  <c r="O3" i="3"/>
  <c r="P3" i="3"/>
  <c r="Q3" i="3" s="1"/>
  <c r="P9" i="3"/>
  <c r="Q9" i="3" s="1"/>
  <c r="P10" i="3"/>
  <c r="Q10" i="3" s="1"/>
  <c r="P31" i="3"/>
  <c r="Q31" i="3" s="1"/>
  <c r="P27" i="3"/>
  <c r="Q27" i="3" s="1"/>
  <c r="P35" i="3"/>
  <c r="Q35" i="3" s="1"/>
  <c r="P36" i="3"/>
  <c r="Q36" i="3" s="1"/>
  <c r="P22" i="3"/>
  <c r="Q22" i="3" s="1"/>
  <c r="P24" i="3"/>
  <c r="Q24" i="3" s="1"/>
  <c r="P25" i="3"/>
  <c r="Q25" i="3" s="1"/>
  <c r="P37" i="3"/>
  <c r="Q37" i="3" s="1"/>
  <c r="P32" i="3"/>
  <c r="Q32" i="3" s="1"/>
  <c r="P28" i="3"/>
  <c r="Q28" i="3" s="1"/>
  <c r="P30" i="3"/>
  <c r="Q30" i="3" s="1"/>
  <c r="P44" i="3"/>
  <c r="Q44" i="3" s="1"/>
  <c r="P45" i="3"/>
  <c r="Q45" i="3" s="1"/>
  <c r="P23" i="3"/>
  <c r="Q23" i="3" s="1"/>
  <c r="P40" i="3"/>
  <c r="Q40" i="3" s="1"/>
  <c r="P39" i="3"/>
  <c r="Q39" i="3" s="1"/>
  <c r="P42" i="3"/>
  <c r="Q42" i="3" s="1"/>
  <c r="P51" i="3"/>
  <c r="Q51" i="3" s="1"/>
  <c r="P55" i="3"/>
  <c r="Q55" i="3" s="1"/>
  <c r="P43" i="3"/>
  <c r="Q43" i="3" s="1"/>
  <c r="P46" i="3"/>
  <c r="Q46" i="3" s="1"/>
  <c r="P48" i="3"/>
  <c r="Q48" i="3" s="1"/>
  <c r="P52" i="3"/>
  <c r="Q52" i="3" s="1"/>
  <c r="P54" i="3"/>
  <c r="Q54" i="3" s="1"/>
  <c r="P47" i="3"/>
  <c r="Q47" i="3" s="1"/>
  <c r="P50" i="3"/>
  <c r="Q50" i="3" s="1"/>
  <c r="P53" i="3"/>
  <c r="Q53" i="3" s="1"/>
  <c r="P67" i="3"/>
  <c r="Q67" i="3" s="1"/>
  <c r="P73" i="3"/>
  <c r="Q73" i="3" s="1"/>
  <c r="P61" i="3"/>
  <c r="Q61" i="3" s="1"/>
  <c r="P49" i="3"/>
  <c r="Q49" i="3" s="1"/>
  <c r="P58" i="3"/>
  <c r="Q58" i="3" s="1"/>
  <c r="P75" i="3"/>
  <c r="Q75" i="3" s="1"/>
  <c r="P66" i="3"/>
  <c r="Q66" i="3" s="1"/>
  <c r="P59" i="3"/>
  <c r="Q59" i="3" s="1"/>
  <c r="P72" i="3"/>
  <c r="Q72" i="3" s="1"/>
  <c r="P64" i="3"/>
  <c r="Q64" i="3" s="1"/>
  <c r="P69" i="3"/>
  <c r="Q69" i="3" s="1"/>
  <c r="P83" i="3"/>
  <c r="Q83" i="3" s="1"/>
  <c r="P76" i="3"/>
  <c r="Q76" i="3" s="1"/>
  <c r="P82" i="3"/>
  <c r="Q82" i="3" s="1"/>
  <c r="P78" i="3"/>
  <c r="Q78" i="3" s="1"/>
  <c r="P70" i="3"/>
  <c r="Q70" i="3" s="1"/>
  <c r="P90" i="3"/>
  <c r="Q90" i="3" s="1"/>
  <c r="P62" i="3"/>
  <c r="Q62" i="3" s="1"/>
  <c r="P86" i="3"/>
  <c r="Q86" i="3" s="1"/>
  <c r="P104" i="3"/>
  <c r="Q104" i="3" s="1"/>
  <c r="P105" i="3"/>
  <c r="Q105" i="3" s="1"/>
  <c r="P102" i="3"/>
  <c r="Q102" i="3" s="1"/>
  <c r="P84" i="3"/>
  <c r="Q84" i="3" s="1"/>
  <c r="P88" i="3"/>
  <c r="Q88" i="3" s="1"/>
  <c r="P96" i="3"/>
  <c r="Q96" i="3" s="1"/>
  <c r="P80" i="3"/>
  <c r="Q80" i="3" s="1"/>
  <c r="P98" i="3"/>
  <c r="Q98" i="3" s="1"/>
  <c r="P91" i="3"/>
  <c r="Q91" i="3" s="1"/>
  <c r="P95" i="3"/>
  <c r="Q95" i="3" s="1"/>
  <c r="P106" i="3"/>
  <c r="Q106" i="3" s="1"/>
  <c r="P97" i="3"/>
  <c r="Q97" i="3" s="1"/>
  <c r="P99" i="3"/>
  <c r="Q99" i="3" s="1"/>
  <c r="P94" i="3"/>
  <c r="Q94" i="3" s="1"/>
  <c r="P63" i="3"/>
  <c r="Q63" i="3" s="1"/>
  <c r="P100" i="3"/>
  <c r="Q100" i="3" s="1"/>
  <c r="P108" i="3"/>
  <c r="Q108" i="3" s="1"/>
  <c r="P110" i="3"/>
  <c r="Q110" i="3" s="1"/>
  <c r="P115" i="3"/>
  <c r="Q115" i="3" s="1"/>
  <c r="P103" i="3"/>
  <c r="Q103" i="3" s="1"/>
  <c r="P113" i="3"/>
  <c r="Q113" i="3" s="1"/>
  <c r="P116" i="3"/>
  <c r="Q116" i="3" s="1"/>
  <c r="P119" i="3"/>
  <c r="Q119" i="3" s="1"/>
  <c r="P120" i="3"/>
  <c r="Q120" i="3" s="1"/>
  <c r="P117" i="3"/>
  <c r="Q117" i="3" s="1"/>
  <c r="P93" i="3"/>
  <c r="Q93" i="3" s="1"/>
  <c r="P109" i="3"/>
  <c r="Q109" i="3" s="1"/>
  <c r="P118" i="3"/>
  <c r="Q118" i="3" s="1"/>
  <c r="P111" i="3"/>
  <c r="Q111" i="3" s="1"/>
  <c r="P122" i="3"/>
  <c r="Q122" i="3" s="1"/>
  <c r="P114" i="3"/>
  <c r="Q114" i="3" s="1"/>
  <c r="P121" i="3"/>
  <c r="Q121" i="3" s="1"/>
  <c r="P112" i="3"/>
  <c r="Q112" i="3" s="1"/>
  <c r="P4" i="3"/>
  <c r="Q4" i="3" s="1"/>
  <c r="P12" i="3"/>
  <c r="Q12" i="3" s="1"/>
  <c r="P16" i="3"/>
  <c r="Q16" i="3" s="1"/>
  <c r="P11" i="3"/>
  <c r="Q11" i="3" s="1"/>
  <c r="P17" i="3"/>
  <c r="Q17" i="3" s="1"/>
  <c r="P19" i="3"/>
  <c r="Q19" i="3" s="1"/>
  <c r="P20" i="3"/>
  <c r="Q20" i="3" s="1"/>
  <c r="P18" i="3"/>
  <c r="Q18" i="3" s="1"/>
  <c r="P29" i="3"/>
  <c r="Q29" i="3" s="1"/>
  <c r="U2" i="7" l="1"/>
  <c r="U8" i="7"/>
  <c r="U7" i="7"/>
  <c r="U6" i="7"/>
  <c r="U5" i="7"/>
  <c r="U4" i="7"/>
  <c r="U4" i="6"/>
  <c r="U16" i="6"/>
  <c r="U17" i="6"/>
  <c r="U2" i="6"/>
  <c r="U13" i="6"/>
  <c r="U3" i="6"/>
  <c r="U12" i="6"/>
  <c r="U15" i="6"/>
  <c r="U14" i="6"/>
  <c r="U24" i="6"/>
  <c r="U11" i="6"/>
  <c r="U23" i="6"/>
  <c r="U10" i="6"/>
  <c r="U22" i="6"/>
  <c r="U9" i="6"/>
  <c r="U21" i="6"/>
  <c r="U7" i="6"/>
  <c r="U20" i="6"/>
  <c r="U6" i="6"/>
  <c r="U25" i="6"/>
  <c r="U19" i="6"/>
  <c r="U5" i="6"/>
  <c r="U8" i="6"/>
  <c r="U18" i="6"/>
  <c r="O27" i="5"/>
  <c r="O77" i="3"/>
  <c r="O87" i="3"/>
  <c r="P39" i="4"/>
  <c r="Q39" i="4" s="1"/>
  <c r="O9" i="4"/>
  <c r="O31" i="4"/>
  <c r="Y33" i="3"/>
  <c r="X34" i="3"/>
  <c r="X31" i="3"/>
  <c r="P21" i="3"/>
  <c r="Q21" i="3" s="1"/>
  <c r="Y84" i="3"/>
  <c r="W75" i="3"/>
  <c r="X84" i="3"/>
  <c r="X119" i="3"/>
  <c r="Y16" i="3"/>
  <c r="X20" i="3"/>
  <c r="W4" i="3"/>
  <c r="W23" i="3"/>
  <c r="Y44" i="3"/>
  <c r="X46" i="3"/>
  <c r="W104" i="3"/>
  <c r="W76" i="3"/>
  <c r="W48" i="3"/>
  <c r="W20" i="3"/>
  <c r="X113" i="3"/>
  <c r="X85" i="3"/>
  <c r="X48" i="3"/>
  <c r="X7" i="3"/>
  <c r="Y96" i="3"/>
  <c r="Y55" i="3"/>
  <c r="W103" i="3"/>
  <c r="X47" i="3"/>
  <c r="Y85" i="3"/>
  <c r="W67" i="3"/>
  <c r="X4" i="3"/>
  <c r="W66" i="3"/>
  <c r="X75" i="3"/>
  <c r="X35" i="3"/>
  <c r="X3" i="3"/>
  <c r="Y83" i="3"/>
  <c r="Y42" i="3"/>
  <c r="W19" i="3"/>
  <c r="W12" i="3"/>
  <c r="X76" i="3"/>
  <c r="W94" i="3"/>
  <c r="W65" i="3"/>
  <c r="W9" i="3"/>
  <c r="X102" i="3"/>
  <c r="X74" i="3"/>
  <c r="Y114" i="3"/>
  <c r="Y82" i="3"/>
  <c r="Y41" i="3"/>
  <c r="Y86" i="3"/>
  <c r="W68" i="3"/>
  <c r="X77" i="3"/>
  <c r="W95" i="3"/>
  <c r="Y43" i="3"/>
  <c r="W10" i="3"/>
  <c r="W37" i="3"/>
  <c r="W64" i="3"/>
  <c r="X101" i="3"/>
  <c r="Y72" i="3"/>
  <c r="Y54" i="3"/>
  <c r="W40" i="3"/>
  <c r="X5" i="3"/>
  <c r="W39" i="3"/>
  <c r="X45" i="3"/>
  <c r="Y3" i="3"/>
  <c r="W120" i="3"/>
  <c r="W36" i="3"/>
  <c r="W8" i="3"/>
  <c r="X73" i="3"/>
  <c r="X33" i="3"/>
  <c r="Y113" i="3"/>
  <c r="Y30" i="3"/>
  <c r="W118" i="3"/>
  <c r="W90" i="3"/>
  <c r="W62" i="3"/>
  <c r="W34" i="3"/>
  <c r="W6" i="3"/>
  <c r="X99" i="3"/>
  <c r="X70" i="3"/>
  <c r="X32" i="3"/>
  <c r="Y112" i="3"/>
  <c r="Y71" i="3"/>
  <c r="Y29" i="3"/>
  <c r="W117" i="3"/>
  <c r="W89" i="3"/>
  <c r="W61" i="3"/>
  <c r="W33" i="3"/>
  <c r="W5" i="3"/>
  <c r="X98" i="3"/>
  <c r="X63" i="3"/>
  <c r="Y111" i="3"/>
  <c r="Y70" i="3"/>
  <c r="Y28" i="3"/>
  <c r="X112" i="3"/>
  <c r="X105" i="3"/>
  <c r="W11" i="3"/>
  <c r="X103" i="3"/>
  <c r="W54" i="3"/>
  <c r="X91" i="3"/>
  <c r="X62" i="3"/>
  <c r="X21" i="3"/>
  <c r="Y110" i="3"/>
  <c r="Y69" i="3"/>
  <c r="Y27" i="3"/>
  <c r="X104" i="3"/>
  <c r="W121" i="3"/>
  <c r="W82" i="3"/>
  <c r="X118" i="3"/>
  <c r="X61" i="3"/>
  <c r="Y100" i="3"/>
  <c r="Y68" i="3"/>
  <c r="W122" i="3"/>
  <c r="W47" i="3"/>
  <c r="X6" i="3"/>
  <c r="W96" i="3"/>
  <c r="W2" i="3"/>
  <c r="W38" i="3"/>
  <c r="W93" i="3"/>
  <c r="W92" i="3"/>
  <c r="W110" i="3"/>
  <c r="W26" i="3"/>
  <c r="X8" i="3"/>
  <c r="X22" i="3"/>
  <c r="X36" i="3"/>
  <c r="X50" i="3"/>
  <c r="X64" i="3"/>
  <c r="X78" i="3"/>
  <c r="X92" i="3"/>
  <c r="X106" i="3"/>
  <c r="X120" i="3"/>
  <c r="X24" i="3"/>
  <c r="X52" i="3"/>
  <c r="X66" i="3"/>
  <c r="X80" i="3"/>
  <c r="X94" i="3"/>
  <c r="X11" i="3"/>
  <c r="X53" i="3"/>
  <c r="X67" i="3"/>
  <c r="X109" i="3"/>
  <c r="X2" i="3"/>
  <c r="X14" i="3"/>
  <c r="X9" i="3"/>
  <c r="X23" i="3"/>
  <c r="X37" i="3"/>
  <c r="X51" i="3"/>
  <c r="X65" i="3"/>
  <c r="X79" i="3"/>
  <c r="X93" i="3"/>
  <c r="X107" i="3"/>
  <c r="X121" i="3"/>
  <c r="X10" i="3"/>
  <c r="X108" i="3"/>
  <c r="X25" i="3"/>
  <c r="X81" i="3"/>
  <c r="X42" i="3"/>
  <c r="X38" i="3"/>
  <c r="X122" i="3"/>
  <c r="X39" i="3"/>
  <c r="X95" i="3"/>
  <c r="X12" i="3"/>
  <c r="X26" i="3"/>
  <c r="X40" i="3"/>
  <c r="X54" i="3"/>
  <c r="X68" i="3"/>
  <c r="X82" i="3"/>
  <c r="X96" i="3"/>
  <c r="X110" i="3"/>
  <c r="X13" i="3"/>
  <c r="X27" i="3"/>
  <c r="X41" i="3"/>
  <c r="X55" i="3"/>
  <c r="X69" i="3"/>
  <c r="X83" i="3"/>
  <c r="X97" i="3"/>
  <c r="X111" i="3"/>
  <c r="X56" i="3"/>
  <c r="X28" i="3"/>
  <c r="X15" i="3"/>
  <c r="X29" i="3"/>
  <c r="X43" i="3"/>
  <c r="X57" i="3"/>
  <c r="X71" i="3"/>
  <c r="X16" i="3"/>
  <c r="X30" i="3"/>
  <c r="X44" i="3"/>
  <c r="X58" i="3"/>
  <c r="X72" i="3"/>
  <c r="X86" i="3"/>
  <c r="X100" i="3"/>
  <c r="X114" i="3"/>
  <c r="Y121" i="3"/>
  <c r="Y26" i="3"/>
  <c r="Y40" i="3"/>
  <c r="W109" i="3"/>
  <c r="W81" i="3"/>
  <c r="W53" i="3"/>
  <c r="W25" i="3"/>
  <c r="X90" i="3"/>
  <c r="W108" i="3"/>
  <c r="W80" i="3"/>
  <c r="W52" i="3"/>
  <c r="W24" i="3"/>
  <c r="X117" i="3"/>
  <c r="X89" i="3"/>
  <c r="X60" i="3"/>
  <c r="X19" i="3"/>
  <c r="Y99" i="3"/>
  <c r="Y58" i="3"/>
  <c r="Y15" i="3"/>
  <c r="W107" i="3"/>
  <c r="W79" i="3"/>
  <c r="W51" i="3"/>
  <c r="X116" i="3"/>
  <c r="X88" i="3"/>
  <c r="X59" i="3"/>
  <c r="X18" i="3"/>
  <c r="Y98" i="3"/>
  <c r="Y57" i="3"/>
  <c r="Y14" i="3"/>
  <c r="W30" i="3"/>
  <c r="W44" i="3"/>
  <c r="W72" i="3"/>
  <c r="W114" i="3"/>
  <c r="W16" i="3"/>
  <c r="W58" i="3"/>
  <c r="W86" i="3"/>
  <c r="W100" i="3"/>
  <c r="W46" i="3"/>
  <c r="W60" i="3"/>
  <c r="W74" i="3"/>
  <c r="W88" i="3"/>
  <c r="W102" i="3"/>
  <c r="W116" i="3"/>
  <c r="W13" i="3"/>
  <c r="W106" i="3"/>
  <c r="W78" i="3"/>
  <c r="W50" i="3"/>
  <c r="W22" i="3"/>
  <c r="X115" i="3"/>
  <c r="X87" i="3"/>
  <c r="X49" i="3"/>
  <c r="X17" i="3"/>
  <c r="Y97" i="3"/>
  <c r="Y56" i="3"/>
  <c r="Y13" i="3"/>
  <c r="Y12" i="3"/>
  <c r="W119" i="3"/>
  <c r="W105" i="3"/>
  <c r="W91" i="3"/>
  <c r="W77" i="3"/>
  <c r="W63" i="3"/>
  <c r="W49" i="3"/>
  <c r="W35" i="3"/>
  <c r="W21" i="3"/>
  <c r="W7" i="3"/>
  <c r="Y2" i="3"/>
  <c r="Y109" i="3"/>
  <c r="Y95" i="3"/>
  <c r="Y81" i="3"/>
  <c r="Y67" i="3"/>
  <c r="Y53" i="3"/>
  <c r="Y39" i="3"/>
  <c r="Y25" i="3"/>
  <c r="Y11" i="3"/>
  <c r="Y122" i="3"/>
  <c r="Y108" i="3"/>
  <c r="Y94" i="3"/>
  <c r="Y80" i="3"/>
  <c r="Y66" i="3"/>
  <c r="Y52" i="3"/>
  <c r="Y38" i="3"/>
  <c r="Y24" i="3"/>
  <c r="Y10" i="3"/>
  <c r="Y107" i="3"/>
  <c r="Y93" i="3"/>
  <c r="Y79" i="3"/>
  <c r="Y65" i="3"/>
  <c r="Y51" i="3"/>
  <c r="Y37" i="3"/>
  <c r="Y23" i="3"/>
  <c r="Y9" i="3"/>
  <c r="W32" i="3"/>
  <c r="W18" i="3"/>
  <c r="Y120" i="3"/>
  <c r="Y106" i="3"/>
  <c r="Y92" i="3"/>
  <c r="Y78" i="3"/>
  <c r="Y64" i="3"/>
  <c r="Y50" i="3"/>
  <c r="Y36" i="3"/>
  <c r="Y22" i="3"/>
  <c r="Y8" i="3"/>
  <c r="W115" i="3"/>
  <c r="W101" i="3"/>
  <c r="W87" i="3"/>
  <c r="W73" i="3"/>
  <c r="W59" i="3"/>
  <c r="W45" i="3"/>
  <c r="W31" i="3"/>
  <c r="W17" i="3"/>
  <c r="W3" i="3"/>
  <c r="Y119" i="3"/>
  <c r="Y105" i="3"/>
  <c r="Y91" i="3"/>
  <c r="Y77" i="3"/>
  <c r="Y63" i="3"/>
  <c r="Y49" i="3"/>
  <c r="Y35" i="3"/>
  <c r="Y21" i="3"/>
  <c r="Y7" i="3"/>
  <c r="Y104" i="3"/>
  <c r="Y48" i="3"/>
  <c r="Y34" i="3"/>
  <c r="Y20" i="3"/>
  <c r="Y6" i="3"/>
  <c r="Y103" i="3"/>
  <c r="Y75" i="3"/>
  <c r="Y61" i="3"/>
  <c r="Y47" i="3"/>
  <c r="Y19" i="3"/>
  <c r="Y5" i="3"/>
  <c r="Y76" i="3"/>
  <c r="W99" i="3"/>
  <c r="W57" i="3"/>
  <c r="W98" i="3"/>
  <c r="W56" i="3"/>
  <c r="W28" i="3"/>
  <c r="Y116" i="3"/>
  <c r="Y102" i="3"/>
  <c r="Y88" i="3"/>
  <c r="Y74" i="3"/>
  <c r="Y60" i="3"/>
  <c r="Y46" i="3"/>
  <c r="Y32" i="3"/>
  <c r="Y18" i="3"/>
  <c r="Y4" i="3"/>
  <c r="Y118" i="3"/>
  <c r="Y90" i="3"/>
  <c r="Y62" i="3"/>
  <c r="W113" i="3"/>
  <c r="W85" i="3"/>
  <c r="W71" i="3"/>
  <c r="W43" i="3"/>
  <c r="W29" i="3"/>
  <c r="W15" i="3"/>
  <c r="Y117" i="3"/>
  <c r="Y89" i="3"/>
  <c r="W112" i="3"/>
  <c r="W84" i="3"/>
  <c r="W70" i="3"/>
  <c r="W42" i="3"/>
  <c r="W14" i="3"/>
  <c r="W111" i="3"/>
  <c r="W97" i="3"/>
  <c r="W83" i="3"/>
  <c r="W69" i="3"/>
  <c r="W55" i="3"/>
  <c r="W41" i="3"/>
  <c r="W27" i="3"/>
  <c r="Y115" i="3"/>
  <c r="Y101" i="3"/>
  <c r="Y87" i="3"/>
  <c r="Y73" i="3"/>
  <c r="Y59" i="3"/>
  <c r="Y45" i="3"/>
  <c r="Y31" i="3"/>
  <c r="Y17" i="3"/>
  <c r="Q6" i="3"/>
  <c r="V3" i="3" l="1"/>
  <c r="V32" i="3"/>
  <c r="V60" i="3"/>
  <c r="V14" i="3"/>
  <c r="V41" i="3"/>
  <c r="V30" i="3"/>
  <c r="V83" i="3"/>
  <c r="V68" i="3"/>
  <c r="V120" i="3"/>
  <c r="V87" i="3"/>
  <c r="V48" i="3"/>
  <c r="V20" i="3"/>
  <c r="V84" i="3"/>
  <c r="V40" i="3"/>
  <c r="V4" i="3"/>
  <c r="V44" i="3"/>
  <c r="V59" i="3"/>
  <c r="V52" i="3"/>
  <c r="V25" i="3"/>
  <c r="V112" i="3"/>
  <c r="V111" i="3"/>
  <c r="V26" i="3"/>
  <c r="V78" i="3"/>
  <c r="V119" i="3"/>
  <c r="V75" i="3"/>
  <c r="V114" i="3"/>
  <c r="V103" i="3"/>
  <c r="V24" i="3"/>
  <c r="V72" i="3"/>
  <c r="V80" i="3"/>
  <c r="V53" i="3"/>
  <c r="V12" i="3"/>
  <c r="V64" i="3"/>
  <c r="V91" i="3"/>
  <c r="V61" i="3"/>
  <c r="V28" i="3"/>
  <c r="V106" i="3"/>
  <c r="V18" i="3"/>
  <c r="V27" i="3"/>
  <c r="V89" i="3"/>
  <c r="V108" i="3"/>
  <c r="V81" i="3"/>
  <c r="V113" i="3"/>
  <c r="V121" i="3"/>
  <c r="V50" i="3"/>
  <c r="V77" i="3"/>
  <c r="V47" i="3"/>
  <c r="V29" i="3"/>
  <c r="V54" i="3"/>
  <c r="V117" i="3"/>
  <c r="V92" i="3"/>
  <c r="V33" i="3"/>
  <c r="V13" i="3"/>
  <c r="V45" i="3"/>
  <c r="V109" i="3"/>
  <c r="V57" i="3"/>
  <c r="V107" i="3"/>
  <c r="V36" i="3"/>
  <c r="V63" i="3"/>
  <c r="V19" i="3"/>
  <c r="V5" i="3"/>
  <c r="V93" i="3"/>
  <c r="V22" i="3"/>
  <c r="V35" i="3"/>
  <c r="V69" i="3"/>
  <c r="V42" i="3"/>
  <c r="V15" i="3"/>
  <c r="V86" i="3"/>
  <c r="V58" i="3"/>
  <c r="V79" i="3"/>
  <c r="V8" i="3"/>
  <c r="V21" i="3"/>
  <c r="V116" i="3"/>
  <c r="V97" i="3"/>
  <c r="V6" i="3"/>
  <c r="V118" i="3"/>
  <c r="V102" i="3"/>
  <c r="V70" i="3"/>
  <c r="V43" i="3"/>
  <c r="V17" i="3"/>
  <c r="V65" i="3"/>
  <c r="V98" i="3"/>
  <c r="V71" i="3"/>
  <c r="V73" i="3"/>
  <c r="V55" i="3"/>
  <c r="V31" i="3"/>
  <c r="V51" i="3"/>
  <c r="V105" i="3"/>
  <c r="V90" i="3"/>
  <c r="V88" i="3"/>
  <c r="V99" i="3"/>
  <c r="V101" i="3"/>
  <c r="V56" i="3"/>
  <c r="V115" i="3"/>
  <c r="V110" i="3"/>
  <c r="V37" i="3"/>
  <c r="V49" i="3"/>
  <c r="V76" i="3"/>
  <c r="V74" i="3"/>
  <c r="V23" i="3"/>
  <c r="V62" i="3"/>
  <c r="V94" i="3"/>
  <c r="V10" i="3"/>
  <c r="V122" i="3"/>
  <c r="V38" i="3"/>
  <c r="V66" i="3"/>
  <c r="V11" i="3"/>
  <c r="V39" i="3"/>
  <c r="V67" i="3"/>
  <c r="V95" i="3"/>
  <c r="V2" i="3"/>
  <c r="V16" i="3"/>
  <c r="V96" i="3"/>
  <c r="V7" i="3"/>
  <c r="V100" i="3"/>
  <c r="V82" i="3"/>
  <c r="V9" i="3"/>
  <c r="V104" i="3"/>
  <c r="V34" i="3"/>
  <c r="V46" i="3"/>
  <c r="V85" i="3"/>
</calcChain>
</file>

<file path=xl/sharedStrings.xml><?xml version="1.0" encoding="utf-8"?>
<sst xmlns="http://schemas.openxmlformats.org/spreadsheetml/2006/main" count="1601" uniqueCount="164">
  <si>
    <t>Queue Date:
2/23/26</t>
  </si>
  <si>
    <t>Project #</t>
  </si>
  <si>
    <t>Name</t>
  </si>
  <si>
    <t>State</t>
  </si>
  <si>
    <t>Study Group</t>
  </si>
  <si>
    <t>Service Type</t>
  </si>
  <si>
    <t>Summer MW</t>
  </si>
  <si>
    <t>Winter MW</t>
  </si>
  <si>
    <t>Fuel</t>
  </si>
  <si>
    <t>ERIS Upgrades ($mm)</t>
  </si>
  <si>
    <t>ERIS $/kW</t>
  </si>
  <si>
    <t>NRIS Upgrades ($mm)</t>
  </si>
  <si>
    <t>NRIS $/kW</t>
  </si>
  <si>
    <t>Total Upgrades ($mm)</t>
  </si>
  <si>
    <t>Total $/kW</t>
  </si>
  <si>
    <t>J2322</t>
  </si>
  <si>
    <t>LA</t>
  </si>
  <si>
    <t>ERIS</t>
  </si>
  <si>
    <t>Solar</t>
  </si>
  <si>
    <t>J2330</t>
  </si>
  <si>
    <t>MS</t>
  </si>
  <si>
    <t>J2350</t>
  </si>
  <si>
    <t>AR</t>
  </si>
  <si>
    <t>J2351</t>
  </si>
  <si>
    <t>NRIS</t>
  </si>
  <si>
    <t>J2371</t>
  </si>
  <si>
    <t>J2395</t>
  </si>
  <si>
    <t>J2396</t>
  </si>
  <si>
    <t>J2397</t>
  </si>
  <si>
    <t>Hybrid</t>
  </si>
  <si>
    <t>J2404</t>
  </si>
  <si>
    <t>Battery Storage</t>
  </si>
  <si>
    <t>J2437</t>
  </si>
  <si>
    <t>Wind</t>
  </si>
  <si>
    <t>J2456</t>
  </si>
  <si>
    <t>J2457</t>
  </si>
  <si>
    <t>J2477</t>
  </si>
  <si>
    <t>J2478</t>
  </si>
  <si>
    <t>J2482</t>
  </si>
  <si>
    <t>J2519</t>
  </si>
  <si>
    <t>J2523</t>
  </si>
  <si>
    <t>J2526</t>
  </si>
  <si>
    <t>J2571</t>
  </si>
  <si>
    <t>J2577</t>
  </si>
  <si>
    <t>J2602</t>
  </si>
  <si>
    <t>J2613</t>
  </si>
  <si>
    <t>J2629</t>
  </si>
  <si>
    <t>TX</t>
  </si>
  <si>
    <t>J2634</t>
  </si>
  <si>
    <t>J2639</t>
  </si>
  <si>
    <t>J2641</t>
  </si>
  <si>
    <t>J2643</t>
  </si>
  <si>
    <t>J2651</t>
  </si>
  <si>
    <t>J2685</t>
  </si>
  <si>
    <t>J2689</t>
  </si>
  <si>
    <t>J2693</t>
  </si>
  <si>
    <t>J2696</t>
  </si>
  <si>
    <t>J2701</t>
  </si>
  <si>
    <t>J2704</t>
  </si>
  <si>
    <t>J2708</t>
  </si>
  <si>
    <t>J2714</t>
  </si>
  <si>
    <t>J2715</t>
  </si>
  <si>
    <t>J2720</t>
  </si>
  <si>
    <t>J2729</t>
  </si>
  <si>
    <t>J2734</t>
  </si>
  <si>
    <t>King</t>
  </si>
  <si>
    <t>J2737</t>
  </si>
  <si>
    <t>J2740</t>
  </si>
  <si>
    <t>J2742</t>
  </si>
  <si>
    <t>J2750</t>
  </si>
  <si>
    <t>J2751</t>
  </si>
  <si>
    <t>J2752</t>
  </si>
  <si>
    <t>J2753</t>
  </si>
  <si>
    <t>J2754</t>
  </si>
  <si>
    <t>J2759</t>
  </si>
  <si>
    <t>J2761</t>
  </si>
  <si>
    <t>J2763</t>
  </si>
  <si>
    <t>J2764</t>
  </si>
  <si>
    <t>J2773</t>
  </si>
  <si>
    <t>J2791</t>
  </si>
  <si>
    <t>Gas</t>
  </si>
  <si>
    <t>J2801</t>
  </si>
  <si>
    <t>J2816</t>
  </si>
  <si>
    <t>J2818</t>
  </si>
  <si>
    <t>J2819</t>
  </si>
  <si>
    <t>J2838</t>
  </si>
  <si>
    <t>J2841</t>
  </si>
  <si>
    <t>J2864</t>
  </si>
  <si>
    <t>J2865</t>
  </si>
  <si>
    <t>J2866</t>
  </si>
  <si>
    <t>J2869</t>
  </si>
  <si>
    <t>J2871</t>
  </si>
  <si>
    <t>J2873</t>
  </si>
  <si>
    <t>J2880</t>
  </si>
  <si>
    <t>J2881</t>
  </si>
  <si>
    <t>J2893</t>
  </si>
  <si>
    <t>Holmes West</t>
  </si>
  <si>
    <t>J2897</t>
  </si>
  <si>
    <t>J2899</t>
  </si>
  <si>
    <t>J2901</t>
  </si>
  <si>
    <t>J2907</t>
  </si>
  <si>
    <t>J2914</t>
  </si>
  <si>
    <t>Tripletail</t>
  </si>
  <si>
    <t>J2917</t>
  </si>
  <si>
    <t>J2920</t>
  </si>
  <si>
    <t>J2924</t>
  </si>
  <si>
    <t>J2952</t>
  </si>
  <si>
    <t>J2954</t>
  </si>
  <si>
    <t>J2955</t>
  </si>
  <si>
    <t>J2956</t>
  </si>
  <si>
    <t>J2957</t>
  </si>
  <si>
    <t>J2965</t>
  </si>
  <si>
    <t>J2966</t>
  </si>
  <si>
    <t>J2967</t>
  </si>
  <si>
    <t>J2983</t>
  </si>
  <si>
    <t>J2985</t>
  </si>
  <si>
    <t>J2986</t>
  </si>
  <si>
    <t>J2999</t>
  </si>
  <si>
    <t>J3014</t>
  </si>
  <si>
    <t>J3028</t>
  </si>
  <si>
    <t>J3030</t>
  </si>
  <si>
    <t>J3035</t>
  </si>
  <si>
    <t>J3040</t>
  </si>
  <si>
    <t>J3042</t>
  </si>
  <si>
    <t>J3045</t>
  </si>
  <si>
    <t>J3049</t>
  </si>
  <si>
    <t>J3053</t>
  </si>
  <si>
    <t>J3058</t>
  </si>
  <si>
    <t>Driftwood</t>
  </si>
  <si>
    <t>J3081</t>
  </si>
  <si>
    <t>J3082</t>
  </si>
  <si>
    <t>J3090</t>
  </si>
  <si>
    <t>J3093</t>
  </si>
  <si>
    <t>J3109</t>
  </si>
  <si>
    <t>J3111</t>
  </si>
  <si>
    <t>J3112</t>
  </si>
  <si>
    <t>J3118</t>
  </si>
  <si>
    <t>J3120</t>
  </si>
  <si>
    <t>J3122</t>
  </si>
  <si>
    <t>J3128</t>
  </si>
  <si>
    <t>J3131</t>
  </si>
  <si>
    <t>J3139</t>
  </si>
  <si>
    <t>J3141</t>
  </si>
  <si>
    <t>J3169</t>
  </si>
  <si>
    <t>J3170</t>
  </si>
  <si>
    <t>J3175</t>
  </si>
  <si>
    <t>J3186</t>
  </si>
  <si>
    <t>J3192</t>
  </si>
  <si>
    <t>J3209</t>
  </si>
  <si>
    <t>J3230</t>
  </si>
  <si>
    <t>King's Neighbor</t>
  </si>
  <si>
    <t>J3231</t>
  </si>
  <si>
    <t>State - Avg</t>
  </si>
  <si>
    <t>ERIS $/kW - Avg</t>
  </si>
  <si>
    <t>NRIS $/kW - Avg</t>
  </si>
  <si>
    <t>Total $/kW - Avg</t>
  </si>
  <si>
    <t>Interconnection Facility Cost ($mm)</t>
  </si>
  <si>
    <t>Interconnection Facility Cost $/kW</t>
  </si>
  <si>
    <t>`</t>
  </si>
  <si>
    <t>NOTES</t>
  </si>
  <si>
    <t>NO FILE</t>
  </si>
  <si>
    <t>Interconnection Facility Cost $/kW Avg</t>
  </si>
  <si>
    <t>SUM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</si>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</sst>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\$#,##0.0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164" fontId="0" fillId="0" borderId="0" xfId="0" applyNumberFormat="1"/>
    <xf numFmtId="3" fontId="0" fillId="0" borderId="0" xfId="0" applyNumberFormat="1"/>
    <xf numFmtId="8" fontId="0" fillId="0" borderId="0" xfId="0" applyNumberFormat="1"/>
    <xf numFmtId="0" fontId="3" fillId="0" borderId="0" xfId="0" applyFont="1" applyAlignment="1">
      <alignment wrapText="1"/>
    </xf>
    <xf numFmtId="165" fontId="2" fillId="0" borderId="0" xfId="0" applyNumberFormat="1" applyFont="1" applyAlignment="1">
      <alignment wrapText="1"/>
    </xf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ERIS + NRIS+Interconnection Facility</a:t>
            </a:r>
            <a:r>
              <a:rPr lang="en-US" baseline="0"/>
              <a:t> Cost</a:t>
            </a:r>
            <a:r>
              <a:rPr lang="en-US"/>
              <a:t> $/kW by Project (sorted by Total $/kW)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ProjectCost_Sorted!$K$1</c:f>
              <c:strCache>
                <c:ptCount val="1"/>
                <c:pt idx="0">
                  <c:v>ERIS $/kW</c:v>
                </c:pt>
              </c:strCache>
            </c:strRef>
          </c:tx>
          <c:invertIfNegative val="0"/>
          <c:cat>
            <c:strRef>
              <c:f>ProjectCost_Sorted!$B$2:$B$122</c:f>
              <c:strCache>
                <c:ptCount val="121"/>
                <c:pt idx="0">
                  <c:v>J2914</c:v>
                </c:pt>
                <c:pt idx="1">
                  <c:v>J3081</c:v>
                </c:pt>
                <c:pt idx="2">
                  <c:v>J2737</c:v>
                </c:pt>
                <c:pt idx="3">
                  <c:v>J2869</c:v>
                </c:pt>
                <c:pt idx="4">
                  <c:v>J3109</c:v>
                </c:pt>
                <c:pt idx="5">
                  <c:v>J3186</c:v>
                </c:pt>
                <c:pt idx="6">
                  <c:v>J3231</c:v>
                </c:pt>
                <c:pt idx="7">
                  <c:v>J3118</c:v>
                </c:pt>
                <c:pt idx="8">
                  <c:v>J2956</c:v>
                </c:pt>
                <c:pt idx="9">
                  <c:v>J2773</c:v>
                </c:pt>
                <c:pt idx="10">
                  <c:v>J2629</c:v>
                </c:pt>
                <c:pt idx="11">
                  <c:v>J3028</c:v>
                </c:pt>
                <c:pt idx="12">
                  <c:v>J2571</c:v>
                </c:pt>
                <c:pt idx="13">
                  <c:v>J2685</c:v>
                </c:pt>
                <c:pt idx="14">
                  <c:v>J2865</c:v>
                </c:pt>
                <c:pt idx="15">
                  <c:v>J3082</c:v>
                </c:pt>
                <c:pt idx="16">
                  <c:v>J2955</c:v>
                </c:pt>
                <c:pt idx="17">
                  <c:v>J2864</c:v>
                </c:pt>
                <c:pt idx="18">
                  <c:v>J2866</c:v>
                </c:pt>
                <c:pt idx="19">
                  <c:v>J2924</c:v>
                </c:pt>
                <c:pt idx="20">
                  <c:v>J3112</c:v>
                </c:pt>
                <c:pt idx="21">
                  <c:v>J2526</c:v>
                </c:pt>
                <c:pt idx="22">
                  <c:v>J2456</c:v>
                </c:pt>
                <c:pt idx="23">
                  <c:v>J2613</c:v>
                </c:pt>
                <c:pt idx="24">
                  <c:v>J3093</c:v>
                </c:pt>
                <c:pt idx="25">
                  <c:v>J2841</c:v>
                </c:pt>
                <c:pt idx="26">
                  <c:v>J2634</c:v>
                </c:pt>
                <c:pt idx="27">
                  <c:v>J2577</c:v>
                </c:pt>
                <c:pt idx="28">
                  <c:v>J2880</c:v>
                </c:pt>
                <c:pt idx="29">
                  <c:v>J3192</c:v>
                </c:pt>
                <c:pt idx="30">
                  <c:v>J3040</c:v>
                </c:pt>
                <c:pt idx="31">
                  <c:v>J3175</c:v>
                </c:pt>
                <c:pt idx="32">
                  <c:v>J2720</c:v>
                </c:pt>
                <c:pt idx="33">
                  <c:v>J2708</c:v>
                </c:pt>
                <c:pt idx="34">
                  <c:v>J2704</c:v>
                </c:pt>
                <c:pt idx="35">
                  <c:v>J2907</c:v>
                </c:pt>
                <c:pt idx="36">
                  <c:v>J2957</c:v>
                </c:pt>
                <c:pt idx="37">
                  <c:v>J2917</c:v>
                </c:pt>
                <c:pt idx="38">
                  <c:v>J3120</c:v>
                </c:pt>
                <c:pt idx="39">
                  <c:v>J2602</c:v>
                </c:pt>
                <c:pt idx="40">
                  <c:v>J2729</c:v>
                </c:pt>
                <c:pt idx="41">
                  <c:v>J2816</c:v>
                </c:pt>
                <c:pt idx="42">
                  <c:v>J3090</c:v>
                </c:pt>
                <c:pt idx="43">
                  <c:v>J2965</c:v>
                </c:pt>
                <c:pt idx="44">
                  <c:v>J2881</c:v>
                </c:pt>
                <c:pt idx="45">
                  <c:v>J2734</c:v>
                </c:pt>
                <c:pt idx="46">
                  <c:v>J2404</c:v>
                </c:pt>
                <c:pt idx="47">
                  <c:v>J2714</c:v>
                </c:pt>
                <c:pt idx="48">
                  <c:v>J2952</c:v>
                </c:pt>
                <c:pt idx="49">
                  <c:v>J2519</c:v>
                </c:pt>
                <c:pt idx="50">
                  <c:v>J3141</c:v>
                </c:pt>
                <c:pt idx="51">
                  <c:v>J3111</c:v>
                </c:pt>
                <c:pt idx="52">
                  <c:v>J3169</c:v>
                </c:pt>
                <c:pt idx="53">
                  <c:v>J2920</c:v>
                </c:pt>
                <c:pt idx="54">
                  <c:v>J3139</c:v>
                </c:pt>
                <c:pt idx="55">
                  <c:v>J2893</c:v>
                </c:pt>
                <c:pt idx="56">
                  <c:v>J2801</c:v>
                </c:pt>
                <c:pt idx="57">
                  <c:v>J3128</c:v>
                </c:pt>
                <c:pt idx="58">
                  <c:v>J2751</c:v>
                </c:pt>
                <c:pt idx="59">
                  <c:v>J2764</c:v>
                </c:pt>
                <c:pt idx="60">
                  <c:v>J2397</c:v>
                </c:pt>
                <c:pt idx="61">
                  <c:v>J3170</c:v>
                </c:pt>
                <c:pt idx="62">
                  <c:v>J2639</c:v>
                </c:pt>
                <c:pt idx="63">
                  <c:v>J2761</c:v>
                </c:pt>
                <c:pt idx="64">
                  <c:v>J2818</c:v>
                </c:pt>
                <c:pt idx="65">
                  <c:v>J2693</c:v>
                </c:pt>
                <c:pt idx="66">
                  <c:v>J2999</c:v>
                </c:pt>
                <c:pt idx="67">
                  <c:v>J3014</c:v>
                </c:pt>
                <c:pt idx="68">
                  <c:v>J2819</c:v>
                </c:pt>
                <c:pt idx="69">
                  <c:v>J2873</c:v>
                </c:pt>
                <c:pt idx="70">
                  <c:v>J2985</c:v>
                </c:pt>
                <c:pt idx="71">
                  <c:v>J2457</c:v>
                </c:pt>
                <c:pt idx="72">
                  <c:v>J2791</c:v>
                </c:pt>
                <c:pt idx="73">
                  <c:v>J3058</c:v>
                </c:pt>
                <c:pt idx="74">
                  <c:v>J3230</c:v>
                </c:pt>
                <c:pt idx="75">
                  <c:v>J3131</c:v>
                </c:pt>
                <c:pt idx="76">
                  <c:v>J2396</c:v>
                </c:pt>
                <c:pt idx="77">
                  <c:v>J3053</c:v>
                </c:pt>
                <c:pt idx="78">
                  <c:v>J2986</c:v>
                </c:pt>
                <c:pt idx="79">
                  <c:v>J3049</c:v>
                </c:pt>
                <c:pt idx="80">
                  <c:v>J2395</c:v>
                </c:pt>
                <c:pt idx="81">
                  <c:v>J2753</c:v>
                </c:pt>
                <c:pt idx="82">
                  <c:v>J2983</c:v>
                </c:pt>
                <c:pt idx="83">
                  <c:v>J2752</c:v>
                </c:pt>
                <c:pt idx="84">
                  <c:v>J2838</c:v>
                </c:pt>
                <c:pt idx="85">
                  <c:v>J2643</c:v>
                </c:pt>
                <c:pt idx="86">
                  <c:v>J2901</c:v>
                </c:pt>
                <c:pt idx="87">
                  <c:v>J2763</c:v>
                </c:pt>
                <c:pt idx="88">
                  <c:v>J2371</c:v>
                </c:pt>
                <c:pt idx="89">
                  <c:v>J2759</c:v>
                </c:pt>
                <c:pt idx="90">
                  <c:v>J2966</c:v>
                </c:pt>
                <c:pt idx="91">
                  <c:v>J3035</c:v>
                </c:pt>
                <c:pt idx="92">
                  <c:v>J3209</c:v>
                </c:pt>
                <c:pt idx="93">
                  <c:v>J2954</c:v>
                </c:pt>
                <c:pt idx="94">
                  <c:v>J2651</c:v>
                </c:pt>
                <c:pt idx="95">
                  <c:v>J2482</c:v>
                </c:pt>
                <c:pt idx="96">
                  <c:v>J2351</c:v>
                </c:pt>
                <c:pt idx="97">
                  <c:v>J2322</c:v>
                </c:pt>
                <c:pt idx="98">
                  <c:v>J2350</c:v>
                </c:pt>
                <c:pt idx="99">
                  <c:v>J2330</c:v>
                </c:pt>
                <c:pt idx="100">
                  <c:v>J3122</c:v>
                </c:pt>
                <c:pt idx="101">
                  <c:v>J2750</c:v>
                </c:pt>
                <c:pt idx="102">
                  <c:v>J2696</c:v>
                </c:pt>
                <c:pt idx="103">
                  <c:v>J2742</c:v>
                </c:pt>
                <c:pt idx="104">
                  <c:v>J2477</c:v>
                </c:pt>
                <c:pt idx="105">
                  <c:v>J2740</c:v>
                </c:pt>
                <c:pt idx="106">
                  <c:v>J2523</c:v>
                </c:pt>
                <c:pt idx="107">
                  <c:v>J2715</c:v>
                </c:pt>
                <c:pt idx="108">
                  <c:v>J3045</c:v>
                </c:pt>
                <c:pt idx="109">
                  <c:v>J2754</c:v>
                </c:pt>
                <c:pt idx="110">
                  <c:v>J3042</c:v>
                </c:pt>
                <c:pt idx="111">
                  <c:v>J3030</c:v>
                </c:pt>
                <c:pt idx="112">
                  <c:v>J2437</c:v>
                </c:pt>
                <c:pt idx="113">
                  <c:v>J2899</c:v>
                </c:pt>
                <c:pt idx="114">
                  <c:v>J2478</c:v>
                </c:pt>
                <c:pt idx="115">
                  <c:v>J2967</c:v>
                </c:pt>
                <c:pt idx="116">
                  <c:v>J2689</c:v>
                </c:pt>
                <c:pt idx="117">
                  <c:v>J2897</c:v>
                </c:pt>
                <c:pt idx="118">
                  <c:v>J2701</c:v>
                </c:pt>
                <c:pt idx="119">
                  <c:v>J2871</c:v>
                </c:pt>
                <c:pt idx="120">
                  <c:v>J2641</c:v>
                </c:pt>
              </c:strCache>
            </c:strRef>
          </c:cat>
          <c:val>
            <c:numRef>
              <c:f>ProjectCost_Sorted!$K$2:$K$122</c:f>
              <c:numCache>
                <c:formatCode>#,##0</c:formatCode>
                <c:ptCount val="121"/>
                <c:pt idx="0">
                  <c:v>2459.6909430929481</c:v>
                </c:pt>
                <c:pt idx="1">
                  <c:v>290.13261070548731</c:v>
                </c:pt>
                <c:pt idx="2">
                  <c:v>716.9701243870544</c:v>
                </c:pt>
                <c:pt idx="3">
                  <c:v>1014.302601752623</c:v>
                </c:pt>
                <c:pt idx="4">
                  <c:v>930.87912525921502</c:v>
                </c:pt>
                <c:pt idx="5">
                  <c:v>242.47605088122111</c:v>
                </c:pt>
                <c:pt idx="6">
                  <c:v>843.85242011647892</c:v>
                </c:pt>
                <c:pt idx="7">
                  <c:v>522.15893240997013</c:v>
                </c:pt>
                <c:pt idx="8">
                  <c:v>489.85477624026879</c:v>
                </c:pt>
                <c:pt idx="9">
                  <c:v>34.841535711442297</c:v>
                </c:pt>
                <c:pt idx="10">
                  <c:v>695.15822196469287</c:v>
                </c:pt>
                <c:pt idx="11">
                  <c:v>965.95334963952962</c:v>
                </c:pt>
                <c:pt idx="12">
                  <c:v>71.820040353251969</c:v>
                </c:pt>
                <c:pt idx="13">
                  <c:v>1079.180036694341</c:v>
                </c:pt>
                <c:pt idx="14">
                  <c:v>414.76511327829252</c:v>
                </c:pt>
                <c:pt idx="15">
                  <c:v>517.52047721448412</c:v>
                </c:pt>
                <c:pt idx="16">
                  <c:v>288.58088958444239</c:v>
                </c:pt>
                <c:pt idx="17">
                  <c:v>299.91491139472168</c:v>
                </c:pt>
                <c:pt idx="18">
                  <c:v>300.32684515686219</c:v>
                </c:pt>
                <c:pt idx="19">
                  <c:v>372.9251389877013</c:v>
                </c:pt>
                <c:pt idx="20">
                  <c:v>66.362503587135961</c:v>
                </c:pt>
                <c:pt idx="21">
                  <c:v>714.62343208077868</c:v>
                </c:pt>
                <c:pt idx="22">
                  <c:v>106.9871105250273</c:v>
                </c:pt>
                <c:pt idx="23">
                  <c:v>83.861465535539608</c:v>
                </c:pt>
                <c:pt idx="24">
                  <c:v>725.58215365045612</c:v>
                </c:pt>
                <c:pt idx="25">
                  <c:v>133.47240132230411</c:v>
                </c:pt>
                <c:pt idx="26">
                  <c:v>439.20536737009792</c:v>
                </c:pt>
                <c:pt idx="27">
                  <c:v>175.76912786843201</c:v>
                </c:pt>
                <c:pt idx="28">
                  <c:v>229.20609136778421</c:v>
                </c:pt>
                <c:pt idx="29">
                  <c:v>99.759912926721356</c:v>
                </c:pt>
                <c:pt idx="30">
                  <c:v>328.15619335604231</c:v>
                </c:pt>
                <c:pt idx="31">
                  <c:v>321.76212359852599</c:v>
                </c:pt>
                <c:pt idx="32">
                  <c:v>476.86913366241367</c:v>
                </c:pt>
                <c:pt idx="33">
                  <c:v>655.78911393365809</c:v>
                </c:pt>
                <c:pt idx="34">
                  <c:v>655.51802230583974</c:v>
                </c:pt>
                <c:pt idx="35">
                  <c:v>84.957929758802493</c:v>
                </c:pt>
                <c:pt idx="36">
                  <c:v>111.4778729734014</c:v>
                </c:pt>
                <c:pt idx="37">
                  <c:v>234.62639906314621</c:v>
                </c:pt>
                <c:pt idx="38">
                  <c:v>123.5586329982313</c:v>
                </c:pt>
                <c:pt idx="39">
                  <c:v>355.71812688399308</c:v>
                </c:pt>
                <c:pt idx="40">
                  <c:v>194.94</c:v>
                </c:pt>
                <c:pt idx="41">
                  <c:v>623.76605117880376</c:v>
                </c:pt>
                <c:pt idx="42">
                  <c:v>99.560798260258451</c:v>
                </c:pt>
                <c:pt idx="43">
                  <c:v>78.48388524263359</c:v>
                </c:pt>
                <c:pt idx="44">
                  <c:v>45.417408307436233</c:v>
                </c:pt>
                <c:pt idx="45">
                  <c:v>228.3372583703908</c:v>
                </c:pt>
                <c:pt idx="46">
                  <c:v>203.79417284509739</c:v>
                </c:pt>
                <c:pt idx="47">
                  <c:v>92.17060855525591</c:v>
                </c:pt>
                <c:pt idx="48">
                  <c:v>45.413640630066169</c:v>
                </c:pt>
                <c:pt idx="49">
                  <c:v>655.50701497985222</c:v>
                </c:pt>
                <c:pt idx="50">
                  <c:v>53.892256561971458</c:v>
                </c:pt>
                <c:pt idx="51">
                  <c:v>25.318359509536808</c:v>
                </c:pt>
                <c:pt idx="52">
                  <c:v>140.07877998741691</c:v>
                </c:pt>
                <c:pt idx="53">
                  <c:v>640.67559253308514</c:v>
                </c:pt>
                <c:pt idx="54">
                  <c:v>375.68650555070172</c:v>
                </c:pt>
                <c:pt idx="55">
                  <c:v>544.93798586681442</c:v>
                </c:pt>
                <c:pt idx="56">
                  <c:v>401.90801997881709</c:v>
                </c:pt>
                <c:pt idx="57">
                  <c:v>0</c:v>
                </c:pt>
                <c:pt idx="58">
                  <c:v>496.95900558893692</c:v>
                </c:pt>
                <c:pt idx="59">
                  <c:v>50.072522295518077</c:v>
                </c:pt>
                <c:pt idx="60">
                  <c:v>285.01492053577857</c:v>
                </c:pt>
                <c:pt idx="61">
                  <c:v>136.3006717107952</c:v>
                </c:pt>
                <c:pt idx="62">
                  <c:v>29.747745189921929</c:v>
                </c:pt>
                <c:pt idx="63">
                  <c:v>39.748929265226828</c:v>
                </c:pt>
                <c:pt idx="64">
                  <c:v>377.7571421169161</c:v>
                </c:pt>
                <c:pt idx="65">
                  <c:v>462.16425567467712</c:v>
                </c:pt>
                <c:pt idx="66">
                  <c:v>172.87753070101971</c:v>
                </c:pt>
                <c:pt idx="67">
                  <c:v>357.60497950675682</c:v>
                </c:pt>
                <c:pt idx="68">
                  <c:v>308.79948930330761</c:v>
                </c:pt>
                <c:pt idx="69">
                  <c:v>331.90757831263733</c:v>
                </c:pt>
                <c:pt idx="70">
                  <c:v>375.39311079439159</c:v>
                </c:pt>
                <c:pt idx="71">
                  <c:v>91.081817491604937</c:v>
                </c:pt>
                <c:pt idx="72">
                  <c:v>50.184830572777301</c:v>
                </c:pt>
                <c:pt idx="73">
                  <c:v>144.63160654641919</c:v>
                </c:pt>
                <c:pt idx="74">
                  <c:v>339.8890844436271</c:v>
                </c:pt>
                <c:pt idx="75">
                  <c:v>334.46734120979329</c:v>
                </c:pt>
                <c:pt idx="76">
                  <c:v>329.98036344181901</c:v>
                </c:pt>
                <c:pt idx="77">
                  <c:v>289.70638367973243</c:v>
                </c:pt>
                <c:pt idx="78">
                  <c:v>191.63424291155329</c:v>
                </c:pt>
                <c:pt idx="79">
                  <c:v>289.128557336884</c:v>
                </c:pt>
                <c:pt idx="80">
                  <c:v>330.24221695811792</c:v>
                </c:pt>
                <c:pt idx="81">
                  <c:v>342.12744578910309</c:v>
                </c:pt>
                <c:pt idx="82">
                  <c:v>240.93455041776889</c:v>
                </c:pt>
                <c:pt idx="83">
                  <c:v>246.5956430390163</c:v>
                </c:pt>
                <c:pt idx="84">
                  <c:v>275.04295214247242</c:v>
                </c:pt>
                <c:pt idx="85">
                  <c:v>310.12674920187158</c:v>
                </c:pt>
                <c:pt idx="86">
                  <c:v>221.87755372167811</c:v>
                </c:pt>
                <c:pt idx="87">
                  <c:v>221.84751937681111</c:v>
                </c:pt>
                <c:pt idx="88">
                  <c:v>287.22329580265819</c:v>
                </c:pt>
                <c:pt idx="89">
                  <c:v>179.9176828962257</c:v>
                </c:pt>
                <c:pt idx="90">
                  <c:v>294.26677422999558</c:v>
                </c:pt>
                <c:pt idx="91">
                  <c:v>48.274615323923577</c:v>
                </c:pt>
                <c:pt idx="92">
                  <c:v>137.37203482750479</c:v>
                </c:pt>
                <c:pt idx="93">
                  <c:v>0</c:v>
                </c:pt>
                <c:pt idx="94">
                  <c:v>200.8225891410049</c:v>
                </c:pt>
                <c:pt idx="95">
                  <c:v>161.73222859282151</c:v>
                </c:pt>
                <c:pt idx="96">
                  <c:v>0</c:v>
                </c:pt>
                <c:pt idx="97">
                  <c:v>141.70352059509079</c:v>
                </c:pt>
                <c:pt idx="98">
                  <c:v>131.72510725790491</c:v>
                </c:pt>
                <c:pt idx="99">
                  <c:v>182.18321488014229</c:v>
                </c:pt>
                <c:pt idx="100">
                  <c:v>241.10455679028021</c:v>
                </c:pt>
                <c:pt idx="101">
                  <c:v>82.988199781305013</c:v>
                </c:pt>
                <c:pt idx="102">
                  <c:v>1.264212370688621</c:v>
                </c:pt>
                <c:pt idx="103">
                  <c:v>254.53847578316521</c:v>
                </c:pt>
                <c:pt idx="104">
                  <c:v>164.9047547120679</c:v>
                </c:pt>
                <c:pt idx="105">
                  <c:v>120.75667840497471</c:v>
                </c:pt>
                <c:pt idx="106">
                  <c:v>126.5480481931131</c:v>
                </c:pt>
                <c:pt idx="107">
                  <c:v>47.125895193804368</c:v>
                </c:pt>
                <c:pt idx="108">
                  <c:v>113.1965549765663</c:v>
                </c:pt>
                <c:pt idx="109">
                  <c:v>44.116097852033342</c:v>
                </c:pt>
                <c:pt idx="110">
                  <c:v>0</c:v>
                </c:pt>
                <c:pt idx="111">
                  <c:v>76.935955056734201</c:v>
                </c:pt>
                <c:pt idx="112">
                  <c:v>8.5043871906757698</c:v>
                </c:pt>
                <c:pt idx="113">
                  <c:v>96.995768515047814</c:v>
                </c:pt>
                <c:pt idx="114">
                  <c:v>65.236863540280623</c:v>
                </c:pt>
                <c:pt idx="115">
                  <c:v>48.921138991903462</c:v>
                </c:pt>
                <c:pt idx="116">
                  <c:v>44.430132613448222</c:v>
                </c:pt>
                <c:pt idx="117">
                  <c:v>63.489560433277177</c:v>
                </c:pt>
                <c:pt idx="118">
                  <c:v>49.146050278868977</c:v>
                </c:pt>
                <c:pt idx="119">
                  <c:v>0</c:v>
                </c:pt>
                <c:pt idx="120">
                  <c:v>10.475976768126859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0B-424D-BD86-AE45D72A4B01}"/>
            </c:ext>
          </c:extLst>
        </c:ser>
        <c:ser>
          <c:idx val="1"/>
          <c:order val="1"/>
          <c:tx>
            <c:strRef>
              <c:f>ProjectCost_Sorted!$M$1</c:f>
              <c:strCache>
                <c:ptCount val="1"/>
                <c:pt idx="0">
                  <c:v>NRIS $/kW</c:v>
                </c:pt>
              </c:strCache>
            </c:strRef>
          </c:tx>
          <c:invertIfNegative val="0"/>
          <c:val>
            <c:numRef>
              <c:f>ProjectCost_Sorted!$M$2:$M$122</c:f>
              <c:numCache>
                <c:formatCode>#,##0</c:formatCode>
                <c:ptCount val="121"/>
                <c:pt idx="0">
                  <c:v>0</c:v>
                </c:pt>
                <c:pt idx="1">
                  <c:v>1655.0190476190469</c:v>
                </c:pt>
                <c:pt idx="2">
                  <c:v>450.00555555555547</c:v>
                </c:pt>
                <c:pt idx="3">
                  <c:v>649.46666666666636</c:v>
                </c:pt>
                <c:pt idx="4">
                  <c:v>616.88333333333287</c:v>
                </c:pt>
                <c:pt idx="5">
                  <c:v>1001.04</c:v>
                </c:pt>
                <c:pt idx="6">
                  <c:v>364.99</c:v>
                </c:pt>
                <c:pt idx="7">
                  <c:v>758.9749999999998</c:v>
                </c:pt>
                <c:pt idx="8">
                  <c:v>759.11999999999978</c:v>
                </c:pt>
                <c:pt idx="9">
                  <c:v>914.70000000000039</c:v>
                </c:pt>
                <c:pt idx="10">
                  <c:v>385.85142857142853</c:v>
                </c:pt>
                <c:pt idx="11">
                  <c:v>123.42</c:v>
                </c:pt>
                <c:pt idx="12">
                  <c:v>1069.9546998867499</c:v>
                </c:pt>
                <c:pt idx="13">
                  <c:v>0</c:v>
                </c:pt>
                <c:pt idx="14">
                  <c:v>590.2986666666668</c:v>
                </c:pt>
                <c:pt idx="15">
                  <c:v>429.57037037037043</c:v>
                </c:pt>
                <c:pt idx="16">
                  <c:v>629.1933333333335</c:v>
                </c:pt>
                <c:pt idx="17">
                  <c:v>626.13333333333333</c:v>
                </c:pt>
                <c:pt idx="18">
                  <c:v>625.57866666666689</c:v>
                </c:pt>
                <c:pt idx="19">
                  <c:v>503.55405405405418</c:v>
                </c:pt>
                <c:pt idx="20">
                  <c:v>781.1</c:v>
                </c:pt>
                <c:pt idx="21">
                  <c:v>0</c:v>
                </c:pt>
                <c:pt idx="22">
                  <c:v>728.81999999999994</c:v>
                </c:pt>
                <c:pt idx="23">
                  <c:v>743.7600000000001</c:v>
                </c:pt>
                <c:pt idx="24">
                  <c:v>0</c:v>
                </c:pt>
                <c:pt idx="25">
                  <c:v>743.77600000000007</c:v>
                </c:pt>
                <c:pt idx="26">
                  <c:v>351.64461247637053</c:v>
                </c:pt>
                <c:pt idx="27">
                  <c:v>739.61999999999989</c:v>
                </c:pt>
                <c:pt idx="28">
                  <c:v>534.0333333333333</c:v>
                </c:pt>
                <c:pt idx="29">
                  <c:v>812.41200000000003</c:v>
                </c:pt>
                <c:pt idx="30">
                  <c:v>469.01369863013679</c:v>
                </c:pt>
                <c:pt idx="31">
                  <c:v>572.52499999999998</c:v>
                </c:pt>
                <c:pt idx="32">
                  <c:v>258.37333333333328</c:v>
                </c:pt>
                <c:pt idx="33">
                  <c:v>206.51400000000001</c:v>
                </c:pt>
                <c:pt idx="34">
                  <c:v>206.51400000000001</c:v>
                </c:pt>
                <c:pt idx="35">
                  <c:v>722.20500000000004</c:v>
                </c:pt>
                <c:pt idx="36">
                  <c:v>561.01999999999975</c:v>
                </c:pt>
                <c:pt idx="37">
                  <c:v>462.03750000000002</c:v>
                </c:pt>
                <c:pt idx="38">
                  <c:v>573.70999999999981</c:v>
                </c:pt>
                <c:pt idx="39">
                  <c:v>424.88799999999998</c:v>
                </c:pt>
                <c:pt idx="40">
                  <c:v>484.51</c:v>
                </c:pt>
                <c:pt idx="41">
                  <c:v>0</c:v>
                </c:pt>
                <c:pt idx="42">
                  <c:v>638.5200000000001</c:v>
                </c:pt>
                <c:pt idx="43">
                  <c:v>654.06111111111125</c:v>
                </c:pt>
                <c:pt idx="44">
                  <c:v>559.31999999999994</c:v>
                </c:pt>
                <c:pt idx="45">
                  <c:v>338.39999999999992</c:v>
                </c:pt>
                <c:pt idx="46">
                  <c:v>381.59793814432999</c:v>
                </c:pt>
                <c:pt idx="47">
                  <c:v>325.2407407407407</c:v>
                </c:pt>
                <c:pt idx="48">
                  <c:v>419.62000000000012</c:v>
                </c:pt>
                <c:pt idx="49">
                  <c:v>0</c:v>
                </c:pt>
                <c:pt idx="50">
                  <c:v>530.02999999999986</c:v>
                </c:pt>
                <c:pt idx="51">
                  <c:v>438.2000000000001</c:v>
                </c:pt>
                <c:pt idx="52">
                  <c:v>428.28500000000003</c:v>
                </c:pt>
                <c:pt idx="53">
                  <c:v>0</c:v>
                </c:pt>
                <c:pt idx="54">
                  <c:v>241.16888888888889</c:v>
                </c:pt>
                <c:pt idx="55">
                  <c:v>0</c:v>
                </c:pt>
                <c:pt idx="56">
                  <c:v>0</c:v>
                </c:pt>
                <c:pt idx="57">
                  <c:v>377.24</c:v>
                </c:pt>
                <c:pt idx="58">
                  <c:v>0</c:v>
                </c:pt>
                <c:pt idx="59">
                  <c:v>387.69333333333333</c:v>
                </c:pt>
                <c:pt idx="60">
                  <c:v>0</c:v>
                </c:pt>
                <c:pt idx="61">
                  <c:v>0</c:v>
                </c:pt>
                <c:pt idx="62">
                  <c:v>343.45935727788282</c:v>
                </c:pt>
                <c:pt idx="63">
                  <c:v>216.88</c:v>
                </c:pt>
                <c:pt idx="64">
                  <c:v>0</c:v>
                </c:pt>
                <c:pt idx="65">
                  <c:v>0</c:v>
                </c:pt>
                <c:pt idx="66">
                  <c:v>114.7199999999999</c:v>
                </c:pt>
                <c:pt idx="67">
                  <c:v>0</c:v>
                </c:pt>
                <c:pt idx="68">
                  <c:v>0</c:v>
                </c:pt>
                <c:pt idx="69">
                  <c:v>143.1393939393939</c:v>
                </c:pt>
                <c:pt idx="70">
                  <c:v>0</c:v>
                </c:pt>
                <c:pt idx="71">
                  <c:v>355.97500000000002</c:v>
                </c:pt>
                <c:pt idx="72">
                  <c:v>444.50156968014932</c:v>
                </c:pt>
                <c:pt idx="73">
                  <c:v>250.23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165.09</c:v>
                </c:pt>
                <c:pt idx="94">
                  <c:v>0</c:v>
                </c:pt>
                <c:pt idx="95">
                  <c:v>0</c:v>
                </c:pt>
                <c:pt idx="96">
                  <c:v>190.655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260.47800000000001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60B-424D-BD86-AE45D72A4B01}"/>
            </c:ext>
          </c:extLst>
        </c:ser>
        <c:ser>
          <c:idx val="6"/>
          <c:order val="6"/>
          <c:tx>
            <c:strRef>
              <c:f>ProjectCost_Sorted!$O$1</c:f>
              <c:strCache>
                <c:ptCount val="1"/>
                <c:pt idx="0">
                  <c:v>Interconnection Facility Cost $/kW</c:v>
                </c:pt>
              </c:strCache>
            </c:strRef>
          </c:tx>
          <c:invertIfNegative val="0"/>
          <c:cat>
            <c:strRef>
              <c:f>ProjectCost_Sorted!$B$2:$B$122</c:f>
              <c:strCache>
                <c:ptCount val="121"/>
                <c:pt idx="0">
                  <c:v>J2914</c:v>
                </c:pt>
                <c:pt idx="1">
                  <c:v>J3081</c:v>
                </c:pt>
                <c:pt idx="2">
                  <c:v>J2737</c:v>
                </c:pt>
                <c:pt idx="3">
                  <c:v>J2869</c:v>
                </c:pt>
                <c:pt idx="4">
                  <c:v>J3109</c:v>
                </c:pt>
                <c:pt idx="5">
                  <c:v>J3186</c:v>
                </c:pt>
                <c:pt idx="6">
                  <c:v>J3231</c:v>
                </c:pt>
                <c:pt idx="7">
                  <c:v>J3118</c:v>
                </c:pt>
                <c:pt idx="8">
                  <c:v>J2956</c:v>
                </c:pt>
                <c:pt idx="9">
                  <c:v>J2773</c:v>
                </c:pt>
                <c:pt idx="10">
                  <c:v>J2629</c:v>
                </c:pt>
                <c:pt idx="11">
                  <c:v>J3028</c:v>
                </c:pt>
                <c:pt idx="12">
                  <c:v>J2571</c:v>
                </c:pt>
                <c:pt idx="13">
                  <c:v>J2685</c:v>
                </c:pt>
                <c:pt idx="14">
                  <c:v>J2865</c:v>
                </c:pt>
                <c:pt idx="15">
                  <c:v>J3082</c:v>
                </c:pt>
                <c:pt idx="16">
                  <c:v>J2955</c:v>
                </c:pt>
                <c:pt idx="17">
                  <c:v>J2864</c:v>
                </c:pt>
                <c:pt idx="18">
                  <c:v>J2866</c:v>
                </c:pt>
                <c:pt idx="19">
                  <c:v>J2924</c:v>
                </c:pt>
                <c:pt idx="20">
                  <c:v>J3112</c:v>
                </c:pt>
                <c:pt idx="21">
                  <c:v>J2526</c:v>
                </c:pt>
                <c:pt idx="22">
                  <c:v>J2456</c:v>
                </c:pt>
                <c:pt idx="23">
                  <c:v>J2613</c:v>
                </c:pt>
                <c:pt idx="24">
                  <c:v>J3093</c:v>
                </c:pt>
                <c:pt idx="25">
                  <c:v>J2841</c:v>
                </c:pt>
                <c:pt idx="26">
                  <c:v>J2634</c:v>
                </c:pt>
                <c:pt idx="27">
                  <c:v>J2577</c:v>
                </c:pt>
                <c:pt idx="28">
                  <c:v>J2880</c:v>
                </c:pt>
                <c:pt idx="29">
                  <c:v>J3192</c:v>
                </c:pt>
                <c:pt idx="30">
                  <c:v>J3040</c:v>
                </c:pt>
                <c:pt idx="31">
                  <c:v>J3175</c:v>
                </c:pt>
                <c:pt idx="32">
                  <c:v>J2720</c:v>
                </c:pt>
                <c:pt idx="33">
                  <c:v>J2708</c:v>
                </c:pt>
                <c:pt idx="34">
                  <c:v>J2704</c:v>
                </c:pt>
                <c:pt idx="35">
                  <c:v>J2907</c:v>
                </c:pt>
                <c:pt idx="36">
                  <c:v>J2957</c:v>
                </c:pt>
                <c:pt idx="37">
                  <c:v>J2917</c:v>
                </c:pt>
                <c:pt idx="38">
                  <c:v>J3120</c:v>
                </c:pt>
                <c:pt idx="39">
                  <c:v>J2602</c:v>
                </c:pt>
                <c:pt idx="40">
                  <c:v>J2729</c:v>
                </c:pt>
                <c:pt idx="41">
                  <c:v>J2816</c:v>
                </c:pt>
                <c:pt idx="42">
                  <c:v>J3090</c:v>
                </c:pt>
                <c:pt idx="43">
                  <c:v>J2965</c:v>
                </c:pt>
                <c:pt idx="44">
                  <c:v>J2881</c:v>
                </c:pt>
                <c:pt idx="45">
                  <c:v>J2734</c:v>
                </c:pt>
                <c:pt idx="46">
                  <c:v>J2404</c:v>
                </c:pt>
                <c:pt idx="47">
                  <c:v>J2714</c:v>
                </c:pt>
                <c:pt idx="48">
                  <c:v>J2952</c:v>
                </c:pt>
                <c:pt idx="49">
                  <c:v>J2519</c:v>
                </c:pt>
                <c:pt idx="50">
                  <c:v>J3141</c:v>
                </c:pt>
                <c:pt idx="51">
                  <c:v>J3111</c:v>
                </c:pt>
                <c:pt idx="52">
                  <c:v>J3169</c:v>
                </c:pt>
                <c:pt idx="53">
                  <c:v>J2920</c:v>
                </c:pt>
                <c:pt idx="54">
                  <c:v>J3139</c:v>
                </c:pt>
                <c:pt idx="55">
                  <c:v>J2893</c:v>
                </c:pt>
                <c:pt idx="56">
                  <c:v>J2801</c:v>
                </c:pt>
                <c:pt idx="57">
                  <c:v>J3128</c:v>
                </c:pt>
                <c:pt idx="58">
                  <c:v>J2751</c:v>
                </c:pt>
                <c:pt idx="59">
                  <c:v>J2764</c:v>
                </c:pt>
                <c:pt idx="60">
                  <c:v>J2397</c:v>
                </c:pt>
                <c:pt idx="61">
                  <c:v>J3170</c:v>
                </c:pt>
                <c:pt idx="62">
                  <c:v>J2639</c:v>
                </c:pt>
                <c:pt idx="63">
                  <c:v>J2761</c:v>
                </c:pt>
                <c:pt idx="64">
                  <c:v>J2818</c:v>
                </c:pt>
                <c:pt idx="65">
                  <c:v>J2693</c:v>
                </c:pt>
                <c:pt idx="66">
                  <c:v>J2999</c:v>
                </c:pt>
                <c:pt idx="67">
                  <c:v>J3014</c:v>
                </c:pt>
                <c:pt idx="68">
                  <c:v>J2819</c:v>
                </c:pt>
                <c:pt idx="69">
                  <c:v>J2873</c:v>
                </c:pt>
                <c:pt idx="70">
                  <c:v>J2985</c:v>
                </c:pt>
                <c:pt idx="71">
                  <c:v>J2457</c:v>
                </c:pt>
                <c:pt idx="72">
                  <c:v>J2791</c:v>
                </c:pt>
                <c:pt idx="73">
                  <c:v>J3058</c:v>
                </c:pt>
                <c:pt idx="74">
                  <c:v>J3230</c:v>
                </c:pt>
                <c:pt idx="75">
                  <c:v>J3131</c:v>
                </c:pt>
                <c:pt idx="76">
                  <c:v>J2396</c:v>
                </c:pt>
                <c:pt idx="77">
                  <c:v>J3053</c:v>
                </c:pt>
                <c:pt idx="78">
                  <c:v>J2986</c:v>
                </c:pt>
                <c:pt idx="79">
                  <c:v>J3049</c:v>
                </c:pt>
                <c:pt idx="80">
                  <c:v>J2395</c:v>
                </c:pt>
                <c:pt idx="81">
                  <c:v>J2753</c:v>
                </c:pt>
                <c:pt idx="82">
                  <c:v>J2983</c:v>
                </c:pt>
                <c:pt idx="83">
                  <c:v>J2752</c:v>
                </c:pt>
                <c:pt idx="84">
                  <c:v>J2838</c:v>
                </c:pt>
                <c:pt idx="85">
                  <c:v>J2643</c:v>
                </c:pt>
                <c:pt idx="86">
                  <c:v>J2901</c:v>
                </c:pt>
                <c:pt idx="87">
                  <c:v>J2763</c:v>
                </c:pt>
                <c:pt idx="88">
                  <c:v>J2371</c:v>
                </c:pt>
                <c:pt idx="89">
                  <c:v>J2759</c:v>
                </c:pt>
                <c:pt idx="90">
                  <c:v>J2966</c:v>
                </c:pt>
                <c:pt idx="91">
                  <c:v>J3035</c:v>
                </c:pt>
                <c:pt idx="92">
                  <c:v>J3209</c:v>
                </c:pt>
                <c:pt idx="93">
                  <c:v>J2954</c:v>
                </c:pt>
                <c:pt idx="94">
                  <c:v>J2651</c:v>
                </c:pt>
                <c:pt idx="95">
                  <c:v>J2482</c:v>
                </c:pt>
                <c:pt idx="96">
                  <c:v>J2351</c:v>
                </c:pt>
                <c:pt idx="97">
                  <c:v>J2322</c:v>
                </c:pt>
                <c:pt idx="98">
                  <c:v>J2350</c:v>
                </c:pt>
                <c:pt idx="99">
                  <c:v>J2330</c:v>
                </c:pt>
                <c:pt idx="100">
                  <c:v>J3122</c:v>
                </c:pt>
                <c:pt idx="101">
                  <c:v>J2750</c:v>
                </c:pt>
                <c:pt idx="102">
                  <c:v>J2696</c:v>
                </c:pt>
                <c:pt idx="103">
                  <c:v>J2742</c:v>
                </c:pt>
                <c:pt idx="104">
                  <c:v>J2477</c:v>
                </c:pt>
                <c:pt idx="105">
                  <c:v>J2740</c:v>
                </c:pt>
                <c:pt idx="106">
                  <c:v>J2523</c:v>
                </c:pt>
                <c:pt idx="107">
                  <c:v>J2715</c:v>
                </c:pt>
                <c:pt idx="108">
                  <c:v>J3045</c:v>
                </c:pt>
                <c:pt idx="109">
                  <c:v>J2754</c:v>
                </c:pt>
                <c:pt idx="110">
                  <c:v>J3042</c:v>
                </c:pt>
                <c:pt idx="111">
                  <c:v>J3030</c:v>
                </c:pt>
                <c:pt idx="112">
                  <c:v>J2437</c:v>
                </c:pt>
                <c:pt idx="113">
                  <c:v>J2899</c:v>
                </c:pt>
                <c:pt idx="114">
                  <c:v>J2478</c:v>
                </c:pt>
                <c:pt idx="115">
                  <c:v>J2967</c:v>
                </c:pt>
                <c:pt idx="116">
                  <c:v>J2689</c:v>
                </c:pt>
                <c:pt idx="117">
                  <c:v>J2897</c:v>
                </c:pt>
                <c:pt idx="118">
                  <c:v>J2701</c:v>
                </c:pt>
                <c:pt idx="119">
                  <c:v>J2871</c:v>
                </c:pt>
                <c:pt idx="120">
                  <c:v>J2641</c:v>
                </c:pt>
              </c:strCache>
            </c:strRef>
          </c:cat>
          <c:val>
            <c:numRef>
              <c:f>ProjectCost_Sorted!$O$2:$O$122</c:f>
              <c:numCache>
                <c:formatCode>"$"#,##0.00_);[Red]\("$"#,##0.00\)</c:formatCode>
                <c:ptCount val="121"/>
                <c:pt idx="0">
                  <c:v>90.333333333333329</c:v>
                </c:pt>
                <c:pt idx="1">
                  <c:v>215.23809523809527</c:v>
                </c:pt>
                <c:pt idx="2">
                  <c:v>821.62222222222226</c:v>
                </c:pt>
                <c:pt idx="3">
                  <c:v>128</c:v>
                </c:pt>
                <c:pt idx="4">
                  <c:v>190.54166666666666</c:v>
                </c:pt>
                <c:pt idx="5">
                  <c:v>164.89999999999998</c:v>
                </c:pt>
                <c:pt idx="6">
                  <c:v>115</c:v>
                </c:pt>
                <c:pt idx="7">
                  <c:v>21.373200000000001</c:v>
                </c:pt>
                <c:pt idx="8">
                  <c:v>35.724049999999998</c:v>
                </c:pt>
                <c:pt idx="9">
                  <c:v>309.20000000000005</c:v>
                </c:pt>
                <c:pt idx="10">
                  <c:v>140.02857142857141</c:v>
                </c:pt>
                <c:pt idx="11">
                  <c:v>89.614860000000007</c:v>
                </c:pt>
                <c:pt idx="12">
                  <c:v>2.7746319365798415</c:v>
                </c:pt>
                <c:pt idx="13">
                  <c:v>42.083333333333336</c:v>
                </c:pt>
                <c:pt idx="14">
                  <c:v>107.38666666666667</c:v>
                </c:pt>
                <c:pt idx="15">
                  <c:v>154.96296296296296</c:v>
                </c:pt>
                <c:pt idx="16">
                  <c:v>150.13333333333335</c:v>
                </c:pt>
                <c:pt idx="17">
                  <c:v>132.32</c:v>
                </c:pt>
                <c:pt idx="18">
                  <c:v>132.32</c:v>
                </c:pt>
                <c:pt idx="19">
                  <c:v>177.16216216216216</c:v>
                </c:pt>
                <c:pt idx="20">
                  <c:v>171.11</c:v>
                </c:pt>
                <c:pt idx="21">
                  <c:v>303.36999999999995</c:v>
                </c:pt>
                <c:pt idx="22">
                  <c:v>179.8</c:v>
                </c:pt>
                <c:pt idx="23">
                  <c:v>187.03333333333333</c:v>
                </c:pt>
                <c:pt idx="24">
                  <c:v>266.52692999999999</c:v>
                </c:pt>
                <c:pt idx="25">
                  <c:v>112.22</c:v>
                </c:pt>
                <c:pt idx="26">
                  <c:v>174.83931947069945</c:v>
                </c:pt>
                <c:pt idx="27">
                  <c:v>34.479999999999997</c:v>
                </c:pt>
                <c:pt idx="28">
                  <c:v>166.26666666666668</c:v>
                </c:pt>
                <c:pt idx="29">
                  <c:v>9.02</c:v>
                </c:pt>
                <c:pt idx="30">
                  <c:v>110.32876712328768</c:v>
                </c:pt>
                <c:pt idx="31">
                  <c:v>0</c:v>
                </c:pt>
                <c:pt idx="32">
                  <c:v>146.06666666666669</c:v>
                </c:pt>
                <c:pt idx="33">
                  <c:v>15.72</c:v>
                </c:pt>
                <c:pt idx="34">
                  <c:v>15.72</c:v>
                </c:pt>
                <c:pt idx="35">
                  <c:v>29.525000000000002</c:v>
                </c:pt>
                <c:pt idx="36">
                  <c:v>159.20000000000002</c:v>
                </c:pt>
                <c:pt idx="37">
                  <c:v>131.20332500000001</c:v>
                </c:pt>
                <c:pt idx="38">
                  <c:v>113.6</c:v>
                </c:pt>
                <c:pt idx="39">
                  <c:v>25.16</c:v>
                </c:pt>
                <c:pt idx="40">
                  <c:v>110.29768000000001</c:v>
                </c:pt>
                <c:pt idx="41">
                  <c:v>158</c:v>
                </c:pt>
                <c:pt idx="42">
                  <c:v>42.800000000000004</c:v>
                </c:pt>
                <c:pt idx="43">
                  <c:v>30.122061111111112</c:v>
                </c:pt>
                <c:pt idx="44">
                  <c:v>149.04</c:v>
                </c:pt>
                <c:pt idx="45">
                  <c:v>183.75333333333333</c:v>
                </c:pt>
                <c:pt idx="46">
                  <c:v>156.85141752577323</c:v>
                </c:pt>
                <c:pt idx="47">
                  <c:v>318.11111111111114</c:v>
                </c:pt>
                <c:pt idx="48">
                  <c:v>259.34000000000003</c:v>
                </c:pt>
                <c:pt idx="49">
                  <c:v>17.433333333333337</c:v>
                </c:pt>
                <c:pt idx="50">
                  <c:v>74.5</c:v>
                </c:pt>
                <c:pt idx="51">
                  <c:v>189.4</c:v>
                </c:pt>
                <c:pt idx="52">
                  <c:v>76.064999999999998</c:v>
                </c:pt>
                <c:pt idx="53">
                  <c:v>0</c:v>
                </c:pt>
                <c:pt idx="54">
                  <c:v>17.022222222222222</c:v>
                </c:pt>
                <c:pt idx="55">
                  <c:v>74.5</c:v>
                </c:pt>
                <c:pt idx="56">
                  <c:v>197.08461538461538</c:v>
                </c:pt>
                <c:pt idx="57">
                  <c:v>212.64</c:v>
                </c:pt>
                <c:pt idx="58">
                  <c:v>89.44</c:v>
                </c:pt>
                <c:pt idx="59">
                  <c:v>148.33333333333334</c:v>
                </c:pt>
                <c:pt idx="60">
                  <c:v>294.4375</c:v>
                </c:pt>
                <c:pt idx="61">
                  <c:v>436.21999999999997</c:v>
                </c:pt>
                <c:pt idx="62">
                  <c:v>188.62003780718337</c:v>
                </c:pt>
                <c:pt idx="63">
                  <c:v>303.34202999999997</c:v>
                </c:pt>
                <c:pt idx="64">
                  <c:v>179.15384615384613</c:v>
                </c:pt>
                <c:pt idx="65">
                  <c:v>93.238095238095227</c:v>
                </c:pt>
                <c:pt idx="66">
                  <c:v>260</c:v>
                </c:pt>
                <c:pt idx="67">
                  <c:v>189.50357142857143</c:v>
                </c:pt>
                <c:pt idx="68">
                  <c:v>232.375</c:v>
                </c:pt>
                <c:pt idx="69">
                  <c:v>57.645369696969695</c:v>
                </c:pt>
                <c:pt idx="70">
                  <c:v>129.67407407407407</c:v>
                </c:pt>
                <c:pt idx="71">
                  <c:v>51.500000000000007</c:v>
                </c:pt>
                <c:pt idx="72">
                  <c:v>0</c:v>
                </c:pt>
                <c:pt idx="73">
                  <c:v>87.15</c:v>
                </c:pt>
                <c:pt idx="74">
                  <c:v>130.61000000000001</c:v>
                </c:pt>
                <c:pt idx="75">
                  <c:v>128.26666666666668</c:v>
                </c:pt>
                <c:pt idx="76">
                  <c:v>117.77500000000001</c:v>
                </c:pt>
                <c:pt idx="77">
                  <c:v>157.7082426035503</c:v>
                </c:pt>
                <c:pt idx="78">
                  <c:v>254.125</c:v>
                </c:pt>
                <c:pt idx="79">
                  <c:v>141.76964361702127</c:v>
                </c:pt>
                <c:pt idx="80">
                  <c:v>94.22</c:v>
                </c:pt>
                <c:pt idx="81">
                  <c:v>80.25</c:v>
                </c:pt>
                <c:pt idx="82">
                  <c:v>178.69285714285712</c:v>
                </c:pt>
                <c:pt idx="83">
                  <c:v>151.81818181818181</c:v>
                </c:pt>
                <c:pt idx="84">
                  <c:v>119.73333333333335</c:v>
                </c:pt>
                <c:pt idx="85">
                  <c:v>79.199999999999989</c:v>
                </c:pt>
                <c:pt idx="86">
                  <c:v>147</c:v>
                </c:pt>
                <c:pt idx="87">
                  <c:v>146.69999999999999</c:v>
                </c:pt>
                <c:pt idx="88">
                  <c:v>68.28</c:v>
                </c:pt>
                <c:pt idx="89">
                  <c:v>159.82352941176472</c:v>
                </c:pt>
                <c:pt idx="90">
                  <c:v>39.511111111111113</c:v>
                </c:pt>
                <c:pt idx="91">
                  <c:v>284.10000000000002</c:v>
                </c:pt>
                <c:pt idx="92">
                  <c:v>194.30857142857141</c:v>
                </c:pt>
                <c:pt idx="93">
                  <c:v>165.6</c:v>
                </c:pt>
                <c:pt idx="94">
                  <c:v>128.31276875</c:v>
                </c:pt>
                <c:pt idx="95">
                  <c:v>154.4</c:v>
                </c:pt>
                <c:pt idx="96">
                  <c:v>113.9</c:v>
                </c:pt>
                <c:pt idx="97">
                  <c:v>161.04500000000002</c:v>
                </c:pt>
                <c:pt idx="98">
                  <c:v>164.06926406926405</c:v>
                </c:pt>
                <c:pt idx="99">
                  <c:v>92.550000000000011</c:v>
                </c:pt>
                <c:pt idx="100">
                  <c:v>31.95</c:v>
                </c:pt>
                <c:pt idx="101">
                  <c:v>185.46835443037975</c:v>
                </c:pt>
                <c:pt idx="102">
                  <c:v>1.18</c:v>
                </c:pt>
                <c:pt idx="103">
                  <c:v>5.1000000000000005</c:v>
                </c:pt>
                <c:pt idx="104">
                  <c:v>77.2</c:v>
                </c:pt>
                <c:pt idx="105">
                  <c:v>97.733333333333334</c:v>
                </c:pt>
                <c:pt idx="106">
                  <c:v>74.44</c:v>
                </c:pt>
                <c:pt idx="107">
                  <c:v>143.875</c:v>
                </c:pt>
                <c:pt idx="108">
                  <c:v>72.486666666666665</c:v>
                </c:pt>
                <c:pt idx="109">
                  <c:v>118.85882352941177</c:v>
                </c:pt>
                <c:pt idx="110">
                  <c:v>156.20666666666665</c:v>
                </c:pt>
                <c:pt idx="111">
                  <c:v>78.888888888888886</c:v>
                </c:pt>
                <c:pt idx="112">
                  <c:v>141.82857142857145</c:v>
                </c:pt>
                <c:pt idx="113">
                  <c:v>51.36</c:v>
                </c:pt>
                <c:pt idx="114">
                  <c:v>81.581818181818178</c:v>
                </c:pt>
                <c:pt idx="115">
                  <c:v>77.85499999999999</c:v>
                </c:pt>
                <c:pt idx="116">
                  <c:v>70.2</c:v>
                </c:pt>
                <c:pt idx="117">
                  <c:v>30.426666666666669</c:v>
                </c:pt>
                <c:pt idx="118">
                  <c:v>24.2</c:v>
                </c:pt>
                <c:pt idx="119">
                  <c:v>47.114285714285714</c:v>
                </c:pt>
                <c:pt idx="120">
                  <c:v>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89-4939-AEBC-71A27B0F9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4199487"/>
        <c:axId val="1044202367"/>
      </c:barChart>
      <c:lineChart>
        <c:grouping val="standard"/>
        <c:varyColors val="0"/>
        <c:ser>
          <c:idx val="2"/>
          <c:order val="2"/>
          <c:tx>
            <c:strRef>
              <c:f>ProjectCost_Sorted!$V$1</c:f>
              <c:strCache>
                <c:ptCount val="1"/>
                <c:pt idx="0">
                  <c:v>AR</c:v>
                </c:pt>
              </c:strCache>
            </c:strRef>
          </c:tx>
          <c:marker>
            <c:symbol val="none"/>
          </c:marker>
          <c:cat>
            <c:strRef>
              <c:f>ProjectCost_Sorted!$B$2:$B$122</c:f>
              <c:strCache>
                <c:ptCount val="121"/>
                <c:pt idx="0">
                  <c:v>J2914</c:v>
                </c:pt>
                <c:pt idx="1">
                  <c:v>J3081</c:v>
                </c:pt>
                <c:pt idx="2">
                  <c:v>J2737</c:v>
                </c:pt>
                <c:pt idx="3">
                  <c:v>J2869</c:v>
                </c:pt>
                <c:pt idx="4">
                  <c:v>J3109</c:v>
                </c:pt>
                <c:pt idx="5">
                  <c:v>J3186</c:v>
                </c:pt>
                <c:pt idx="6">
                  <c:v>J3231</c:v>
                </c:pt>
                <c:pt idx="7">
                  <c:v>J3118</c:v>
                </c:pt>
                <c:pt idx="8">
                  <c:v>J2956</c:v>
                </c:pt>
                <c:pt idx="9">
                  <c:v>J2773</c:v>
                </c:pt>
                <c:pt idx="10">
                  <c:v>J2629</c:v>
                </c:pt>
                <c:pt idx="11">
                  <c:v>J3028</c:v>
                </c:pt>
                <c:pt idx="12">
                  <c:v>J2571</c:v>
                </c:pt>
                <c:pt idx="13">
                  <c:v>J2685</c:v>
                </c:pt>
                <c:pt idx="14">
                  <c:v>J2865</c:v>
                </c:pt>
                <c:pt idx="15">
                  <c:v>J3082</c:v>
                </c:pt>
                <c:pt idx="16">
                  <c:v>J2955</c:v>
                </c:pt>
                <c:pt idx="17">
                  <c:v>J2864</c:v>
                </c:pt>
                <c:pt idx="18">
                  <c:v>J2866</c:v>
                </c:pt>
                <c:pt idx="19">
                  <c:v>J2924</c:v>
                </c:pt>
                <c:pt idx="20">
                  <c:v>J3112</c:v>
                </c:pt>
                <c:pt idx="21">
                  <c:v>J2526</c:v>
                </c:pt>
                <c:pt idx="22">
                  <c:v>J2456</c:v>
                </c:pt>
                <c:pt idx="23">
                  <c:v>J2613</c:v>
                </c:pt>
                <c:pt idx="24">
                  <c:v>J3093</c:v>
                </c:pt>
                <c:pt idx="25">
                  <c:v>J2841</c:v>
                </c:pt>
                <c:pt idx="26">
                  <c:v>J2634</c:v>
                </c:pt>
                <c:pt idx="27">
                  <c:v>J2577</c:v>
                </c:pt>
                <c:pt idx="28">
                  <c:v>J2880</c:v>
                </c:pt>
                <c:pt idx="29">
                  <c:v>J3192</c:v>
                </c:pt>
                <c:pt idx="30">
                  <c:v>J3040</c:v>
                </c:pt>
                <c:pt idx="31">
                  <c:v>J3175</c:v>
                </c:pt>
                <c:pt idx="32">
                  <c:v>J2720</c:v>
                </c:pt>
                <c:pt idx="33">
                  <c:v>J2708</c:v>
                </c:pt>
                <c:pt idx="34">
                  <c:v>J2704</c:v>
                </c:pt>
                <c:pt idx="35">
                  <c:v>J2907</c:v>
                </c:pt>
                <c:pt idx="36">
                  <c:v>J2957</c:v>
                </c:pt>
                <c:pt idx="37">
                  <c:v>J2917</c:v>
                </c:pt>
                <c:pt idx="38">
                  <c:v>J3120</c:v>
                </c:pt>
                <c:pt idx="39">
                  <c:v>J2602</c:v>
                </c:pt>
                <c:pt idx="40">
                  <c:v>J2729</c:v>
                </c:pt>
                <c:pt idx="41">
                  <c:v>J2816</c:v>
                </c:pt>
                <c:pt idx="42">
                  <c:v>J3090</c:v>
                </c:pt>
                <c:pt idx="43">
                  <c:v>J2965</c:v>
                </c:pt>
                <c:pt idx="44">
                  <c:v>J2881</c:v>
                </c:pt>
                <c:pt idx="45">
                  <c:v>J2734</c:v>
                </c:pt>
                <c:pt idx="46">
                  <c:v>J2404</c:v>
                </c:pt>
                <c:pt idx="47">
                  <c:v>J2714</c:v>
                </c:pt>
                <c:pt idx="48">
                  <c:v>J2952</c:v>
                </c:pt>
                <c:pt idx="49">
                  <c:v>J2519</c:v>
                </c:pt>
                <c:pt idx="50">
                  <c:v>J3141</c:v>
                </c:pt>
                <c:pt idx="51">
                  <c:v>J3111</c:v>
                </c:pt>
                <c:pt idx="52">
                  <c:v>J3169</c:v>
                </c:pt>
                <c:pt idx="53">
                  <c:v>J2920</c:v>
                </c:pt>
                <c:pt idx="54">
                  <c:v>J3139</c:v>
                </c:pt>
                <c:pt idx="55">
                  <c:v>J2893</c:v>
                </c:pt>
                <c:pt idx="56">
                  <c:v>J2801</c:v>
                </c:pt>
                <c:pt idx="57">
                  <c:v>J3128</c:v>
                </c:pt>
                <c:pt idx="58">
                  <c:v>J2751</c:v>
                </c:pt>
                <c:pt idx="59">
                  <c:v>J2764</c:v>
                </c:pt>
                <c:pt idx="60">
                  <c:v>J2397</c:v>
                </c:pt>
                <c:pt idx="61">
                  <c:v>J3170</c:v>
                </c:pt>
                <c:pt idx="62">
                  <c:v>J2639</c:v>
                </c:pt>
                <c:pt idx="63">
                  <c:v>J2761</c:v>
                </c:pt>
                <c:pt idx="64">
                  <c:v>J2818</c:v>
                </c:pt>
                <c:pt idx="65">
                  <c:v>J2693</c:v>
                </c:pt>
                <c:pt idx="66">
                  <c:v>J2999</c:v>
                </c:pt>
                <c:pt idx="67">
                  <c:v>J3014</c:v>
                </c:pt>
                <c:pt idx="68">
                  <c:v>J2819</c:v>
                </c:pt>
                <c:pt idx="69">
                  <c:v>J2873</c:v>
                </c:pt>
                <c:pt idx="70">
                  <c:v>J2985</c:v>
                </c:pt>
                <c:pt idx="71">
                  <c:v>J2457</c:v>
                </c:pt>
                <c:pt idx="72">
                  <c:v>J2791</c:v>
                </c:pt>
                <c:pt idx="73">
                  <c:v>J3058</c:v>
                </c:pt>
                <c:pt idx="74">
                  <c:v>J3230</c:v>
                </c:pt>
                <c:pt idx="75">
                  <c:v>J3131</c:v>
                </c:pt>
                <c:pt idx="76">
                  <c:v>J2396</c:v>
                </c:pt>
                <c:pt idx="77">
                  <c:v>J3053</c:v>
                </c:pt>
                <c:pt idx="78">
                  <c:v>J2986</c:v>
                </c:pt>
                <c:pt idx="79">
                  <c:v>J3049</c:v>
                </c:pt>
                <c:pt idx="80">
                  <c:v>J2395</c:v>
                </c:pt>
                <c:pt idx="81">
                  <c:v>J2753</c:v>
                </c:pt>
                <c:pt idx="82">
                  <c:v>J2983</c:v>
                </c:pt>
                <c:pt idx="83">
                  <c:v>J2752</c:v>
                </c:pt>
                <c:pt idx="84">
                  <c:v>J2838</c:v>
                </c:pt>
                <c:pt idx="85">
                  <c:v>J2643</c:v>
                </c:pt>
                <c:pt idx="86">
                  <c:v>J2901</c:v>
                </c:pt>
                <c:pt idx="87">
                  <c:v>J2763</c:v>
                </c:pt>
                <c:pt idx="88">
                  <c:v>J2371</c:v>
                </c:pt>
                <c:pt idx="89">
                  <c:v>J2759</c:v>
                </c:pt>
                <c:pt idx="90">
                  <c:v>J2966</c:v>
                </c:pt>
                <c:pt idx="91">
                  <c:v>J3035</c:v>
                </c:pt>
                <c:pt idx="92">
                  <c:v>J3209</c:v>
                </c:pt>
                <c:pt idx="93">
                  <c:v>J2954</c:v>
                </c:pt>
                <c:pt idx="94">
                  <c:v>J2651</c:v>
                </c:pt>
                <c:pt idx="95">
                  <c:v>J2482</c:v>
                </c:pt>
                <c:pt idx="96">
                  <c:v>J2351</c:v>
                </c:pt>
                <c:pt idx="97">
                  <c:v>J2322</c:v>
                </c:pt>
                <c:pt idx="98">
                  <c:v>J2350</c:v>
                </c:pt>
                <c:pt idx="99">
                  <c:v>J2330</c:v>
                </c:pt>
                <c:pt idx="100">
                  <c:v>J3122</c:v>
                </c:pt>
                <c:pt idx="101">
                  <c:v>J2750</c:v>
                </c:pt>
                <c:pt idx="102">
                  <c:v>J2696</c:v>
                </c:pt>
                <c:pt idx="103">
                  <c:v>J2742</c:v>
                </c:pt>
                <c:pt idx="104">
                  <c:v>J2477</c:v>
                </c:pt>
                <c:pt idx="105">
                  <c:v>J2740</c:v>
                </c:pt>
                <c:pt idx="106">
                  <c:v>J2523</c:v>
                </c:pt>
                <c:pt idx="107">
                  <c:v>J2715</c:v>
                </c:pt>
                <c:pt idx="108">
                  <c:v>J3045</c:v>
                </c:pt>
                <c:pt idx="109">
                  <c:v>J2754</c:v>
                </c:pt>
                <c:pt idx="110">
                  <c:v>J3042</c:v>
                </c:pt>
                <c:pt idx="111">
                  <c:v>J3030</c:v>
                </c:pt>
                <c:pt idx="112">
                  <c:v>J2437</c:v>
                </c:pt>
                <c:pt idx="113">
                  <c:v>J2899</c:v>
                </c:pt>
                <c:pt idx="114">
                  <c:v>J2478</c:v>
                </c:pt>
                <c:pt idx="115">
                  <c:v>J2967</c:v>
                </c:pt>
                <c:pt idx="116">
                  <c:v>J2689</c:v>
                </c:pt>
                <c:pt idx="117">
                  <c:v>J2897</c:v>
                </c:pt>
                <c:pt idx="118">
                  <c:v>J2701</c:v>
                </c:pt>
                <c:pt idx="119">
                  <c:v>J2871</c:v>
                </c:pt>
                <c:pt idx="120">
                  <c:v>J2641</c:v>
                </c:pt>
              </c:strCache>
            </c:strRef>
          </c:cat>
          <c:val>
            <c:numRef>
              <c:f>ProjectCost_Sorted!$V$2:$V$122</c:f>
              <c:numCache>
                <c:formatCode>General</c:formatCode>
                <c:ptCount val="121"/>
                <c:pt idx="0">
                  <c:v>642.07140416841071</c:v>
                </c:pt>
                <c:pt idx="1">
                  <c:v>642.07140416841071</c:v>
                </c:pt>
                <c:pt idx="2">
                  <c:v>642.07140416841071</c:v>
                </c:pt>
                <c:pt idx="3">
                  <c:v>642.07140416841071</c:v>
                </c:pt>
                <c:pt idx="4">
                  <c:v>642.07140416841071</c:v>
                </c:pt>
                <c:pt idx="5">
                  <c:v>642.07140416841071</c:v>
                </c:pt>
                <c:pt idx="6">
                  <c:v>642.07140416841071</c:v>
                </c:pt>
                <c:pt idx="7">
                  <c:v>642.07140416841071</c:v>
                </c:pt>
                <c:pt idx="8">
                  <c:v>642.07140416841071</c:v>
                </c:pt>
                <c:pt idx="9">
                  <c:v>642.07140416841071</c:v>
                </c:pt>
                <c:pt idx="10">
                  <c:v>642.07140416841071</c:v>
                </c:pt>
                <c:pt idx="11">
                  <c:v>642.07140416841071</c:v>
                </c:pt>
                <c:pt idx="12">
                  <c:v>642.07140416841071</c:v>
                </c:pt>
                <c:pt idx="13">
                  <c:v>642.07140416841071</c:v>
                </c:pt>
                <c:pt idx="14">
                  <c:v>642.07140416841071</c:v>
                </c:pt>
                <c:pt idx="15">
                  <c:v>642.07140416841071</c:v>
                </c:pt>
                <c:pt idx="16">
                  <c:v>642.07140416841071</c:v>
                </c:pt>
                <c:pt idx="17">
                  <c:v>642.07140416841071</c:v>
                </c:pt>
                <c:pt idx="18">
                  <c:v>642.07140416841071</c:v>
                </c:pt>
                <c:pt idx="19">
                  <c:v>642.07140416841071</c:v>
                </c:pt>
                <c:pt idx="20">
                  <c:v>642.07140416841071</c:v>
                </c:pt>
                <c:pt idx="21">
                  <c:v>642.07140416841071</c:v>
                </c:pt>
                <c:pt idx="22">
                  <c:v>642.07140416841071</c:v>
                </c:pt>
                <c:pt idx="23">
                  <c:v>642.07140416841071</c:v>
                </c:pt>
                <c:pt idx="24">
                  <c:v>642.07140416841071</c:v>
                </c:pt>
                <c:pt idx="25">
                  <c:v>642.07140416841071</c:v>
                </c:pt>
                <c:pt idx="26">
                  <c:v>642.07140416841071</c:v>
                </c:pt>
                <c:pt idx="27">
                  <c:v>642.07140416841071</c:v>
                </c:pt>
                <c:pt idx="28">
                  <c:v>642.07140416841071</c:v>
                </c:pt>
                <c:pt idx="29">
                  <c:v>642.07140416841071</c:v>
                </c:pt>
                <c:pt idx="30">
                  <c:v>642.07140416841071</c:v>
                </c:pt>
                <c:pt idx="31">
                  <c:v>642.07140416841071</c:v>
                </c:pt>
                <c:pt idx="32">
                  <c:v>642.07140416841071</c:v>
                </c:pt>
                <c:pt idx="33">
                  <c:v>642.07140416841071</c:v>
                </c:pt>
                <c:pt idx="34">
                  <c:v>642.07140416841071</c:v>
                </c:pt>
                <c:pt idx="35">
                  <c:v>642.07140416841071</c:v>
                </c:pt>
                <c:pt idx="36">
                  <c:v>642.07140416841071</c:v>
                </c:pt>
                <c:pt idx="37">
                  <c:v>642.07140416841071</c:v>
                </c:pt>
                <c:pt idx="38">
                  <c:v>642.07140416841071</c:v>
                </c:pt>
                <c:pt idx="39">
                  <c:v>642.07140416841071</c:v>
                </c:pt>
                <c:pt idx="40">
                  <c:v>642.07140416841071</c:v>
                </c:pt>
                <c:pt idx="41">
                  <c:v>642.07140416841071</c:v>
                </c:pt>
                <c:pt idx="42">
                  <c:v>642.07140416841071</c:v>
                </c:pt>
                <c:pt idx="43">
                  <c:v>642.07140416841071</c:v>
                </c:pt>
                <c:pt idx="44">
                  <c:v>642.07140416841071</c:v>
                </c:pt>
                <c:pt idx="45">
                  <c:v>642.07140416841071</c:v>
                </c:pt>
                <c:pt idx="46">
                  <c:v>642.07140416841071</c:v>
                </c:pt>
                <c:pt idx="47">
                  <c:v>642.07140416841071</c:v>
                </c:pt>
                <c:pt idx="48">
                  <c:v>642.07140416841071</c:v>
                </c:pt>
                <c:pt idx="49">
                  <c:v>642.07140416841071</c:v>
                </c:pt>
                <c:pt idx="50">
                  <c:v>642.07140416841071</c:v>
                </c:pt>
                <c:pt idx="51">
                  <c:v>642.07140416841071</c:v>
                </c:pt>
                <c:pt idx="52">
                  <c:v>642.07140416841071</c:v>
                </c:pt>
                <c:pt idx="53">
                  <c:v>642.07140416841071</c:v>
                </c:pt>
                <c:pt idx="54">
                  <c:v>642.07140416841071</c:v>
                </c:pt>
                <c:pt idx="55">
                  <c:v>642.07140416841071</c:v>
                </c:pt>
                <c:pt idx="56">
                  <c:v>642.07140416841071</c:v>
                </c:pt>
                <c:pt idx="57">
                  <c:v>642.07140416841071</c:v>
                </c:pt>
                <c:pt idx="58">
                  <c:v>642.07140416841071</c:v>
                </c:pt>
                <c:pt idx="59">
                  <c:v>642.07140416841071</c:v>
                </c:pt>
                <c:pt idx="60">
                  <c:v>642.07140416841071</c:v>
                </c:pt>
                <c:pt idx="61">
                  <c:v>642.07140416841071</c:v>
                </c:pt>
                <c:pt idx="62">
                  <c:v>642.07140416841071</c:v>
                </c:pt>
                <c:pt idx="63">
                  <c:v>642.07140416841071</c:v>
                </c:pt>
                <c:pt idx="64">
                  <c:v>642.07140416841071</c:v>
                </c:pt>
                <c:pt idx="65">
                  <c:v>642.07140416841071</c:v>
                </c:pt>
                <c:pt idx="66">
                  <c:v>642.07140416841071</c:v>
                </c:pt>
                <c:pt idx="67">
                  <c:v>642.07140416841071</c:v>
                </c:pt>
                <c:pt idx="68">
                  <c:v>642.07140416841071</c:v>
                </c:pt>
                <c:pt idx="69">
                  <c:v>642.07140416841071</c:v>
                </c:pt>
                <c:pt idx="70">
                  <c:v>642.07140416841071</c:v>
                </c:pt>
                <c:pt idx="71">
                  <c:v>642.07140416841071</c:v>
                </c:pt>
                <c:pt idx="72">
                  <c:v>642.07140416841071</c:v>
                </c:pt>
                <c:pt idx="73">
                  <c:v>642.07140416841071</c:v>
                </c:pt>
                <c:pt idx="74">
                  <c:v>642.07140416841071</c:v>
                </c:pt>
                <c:pt idx="75">
                  <c:v>642.07140416841071</c:v>
                </c:pt>
                <c:pt idx="76">
                  <c:v>642.07140416841071</c:v>
                </c:pt>
                <c:pt idx="77">
                  <c:v>642.07140416841071</c:v>
                </c:pt>
                <c:pt idx="78">
                  <c:v>642.07140416841071</c:v>
                </c:pt>
                <c:pt idx="79">
                  <c:v>642.07140416841071</c:v>
                </c:pt>
                <c:pt idx="80">
                  <c:v>642.07140416841071</c:v>
                </c:pt>
                <c:pt idx="81">
                  <c:v>642.07140416841071</c:v>
                </c:pt>
                <c:pt idx="82">
                  <c:v>642.07140416841071</c:v>
                </c:pt>
                <c:pt idx="83">
                  <c:v>642.07140416841071</c:v>
                </c:pt>
                <c:pt idx="84">
                  <c:v>642.07140416841071</c:v>
                </c:pt>
                <c:pt idx="85">
                  <c:v>642.07140416841071</c:v>
                </c:pt>
                <c:pt idx="86">
                  <c:v>642.07140416841071</c:v>
                </c:pt>
                <c:pt idx="87">
                  <c:v>642.07140416841071</c:v>
                </c:pt>
                <c:pt idx="88">
                  <c:v>642.07140416841071</c:v>
                </c:pt>
                <c:pt idx="89">
                  <c:v>642.07140416841071</c:v>
                </c:pt>
                <c:pt idx="90">
                  <c:v>642.07140416841071</c:v>
                </c:pt>
                <c:pt idx="91">
                  <c:v>642.07140416841071</c:v>
                </c:pt>
                <c:pt idx="92">
                  <c:v>642.07140416841071</c:v>
                </c:pt>
                <c:pt idx="93">
                  <c:v>642.07140416841071</c:v>
                </c:pt>
                <c:pt idx="94">
                  <c:v>642.07140416841071</c:v>
                </c:pt>
                <c:pt idx="95">
                  <c:v>642.07140416841071</c:v>
                </c:pt>
                <c:pt idx="96">
                  <c:v>642.07140416841071</c:v>
                </c:pt>
                <c:pt idx="97">
                  <c:v>642.07140416841071</c:v>
                </c:pt>
                <c:pt idx="98">
                  <c:v>642.07140416841071</c:v>
                </c:pt>
                <c:pt idx="99">
                  <c:v>642.07140416841071</c:v>
                </c:pt>
                <c:pt idx="100">
                  <c:v>642.07140416841071</c:v>
                </c:pt>
                <c:pt idx="101">
                  <c:v>642.07140416841071</c:v>
                </c:pt>
                <c:pt idx="102">
                  <c:v>642.07140416841071</c:v>
                </c:pt>
                <c:pt idx="103">
                  <c:v>642.07140416841071</c:v>
                </c:pt>
                <c:pt idx="104">
                  <c:v>642.07140416841071</c:v>
                </c:pt>
                <c:pt idx="105">
                  <c:v>642.07140416841071</c:v>
                </c:pt>
                <c:pt idx="106">
                  <c:v>642.07140416841071</c:v>
                </c:pt>
                <c:pt idx="107">
                  <c:v>642.07140416841071</c:v>
                </c:pt>
                <c:pt idx="108">
                  <c:v>642.07140416841071</c:v>
                </c:pt>
                <c:pt idx="109">
                  <c:v>642.07140416841071</c:v>
                </c:pt>
                <c:pt idx="110">
                  <c:v>642.07140416841071</c:v>
                </c:pt>
                <c:pt idx="111">
                  <c:v>642.07140416841071</c:v>
                </c:pt>
                <c:pt idx="112">
                  <c:v>642.07140416841071</c:v>
                </c:pt>
                <c:pt idx="113">
                  <c:v>642.07140416841071</c:v>
                </c:pt>
                <c:pt idx="114">
                  <c:v>642.07140416841071</c:v>
                </c:pt>
                <c:pt idx="115">
                  <c:v>642.07140416841071</c:v>
                </c:pt>
                <c:pt idx="116">
                  <c:v>642.07140416841071</c:v>
                </c:pt>
                <c:pt idx="117">
                  <c:v>642.07140416841071</c:v>
                </c:pt>
                <c:pt idx="118">
                  <c:v>642.07140416841071</c:v>
                </c:pt>
                <c:pt idx="119">
                  <c:v>642.07140416841071</c:v>
                </c:pt>
                <c:pt idx="120">
                  <c:v>642.07140416841071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60B-424D-BD86-AE45D72A4B01}"/>
            </c:ext>
          </c:extLst>
        </c:ser>
        <c:ser>
          <c:idx val="3"/>
          <c:order val="3"/>
          <c:tx>
            <c:strRef>
              <c:f>ProjectCost_Sorted!$W$1</c:f>
              <c:strCache>
                <c:ptCount val="1"/>
                <c:pt idx="0">
                  <c:v>LA</c:v>
                </c:pt>
              </c:strCache>
            </c:strRef>
          </c:tx>
          <c:marker>
            <c:symbol val="none"/>
          </c:marker>
          <c:cat>
            <c:strRef>
              <c:f>ProjectCost_Sorted!$B$2:$B$122</c:f>
              <c:strCache>
                <c:ptCount val="121"/>
                <c:pt idx="0">
                  <c:v>J2914</c:v>
                </c:pt>
                <c:pt idx="1">
                  <c:v>J3081</c:v>
                </c:pt>
                <c:pt idx="2">
                  <c:v>J2737</c:v>
                </c:pt>
                <c:pt idx="3">
                  <c:v>J2869</c:v>
                </c:pt>
                <c:pt idx="4">
                  <c:v>J3109</c:v>
                </c:pt>
                <c:pt idx="5">
                  <c:v>J3186</c:v>
                </c:pt>
                <c:pt idx="6">
                  <c:v>J3231</c:v>
                </c:pt>
                <c:pt idx="7">
                  <c:v>J3118</c:v>
                </c:pt>
                <c:pt idx="8">
                  <c:v>J2956</c:v>
                </c:pt>
                <c:pt idx="9">
                  <c:v>J2773</c:v>
                </c:pt>
                <c:pt idx="10">
                  <c:v>J2629</c:v>
                </c:pt>
                <c:pt idx="11">
                  <c:v>J3028</c:v>
                </c:pt>
                <c:pt idx="12">
                  <c:v>J2571</c:v>
                </c:pt>
                <c:pt idx="13">
                  <c:v>J2685</c:v>
                </c:pt>
                <c:pt idx="14">
                  <c:v>J2865</c:v>
                </c:pt>
                <c:pt idx="15">
                  <c:v>J3082</c:v>
                </c:pt>
                <c:pt idx="16">
                  <c:v>J2955</c:v>
                </c:pt>
                <c:pt idx="17">
                  <c:v>J2864</c:v>
                </c:pt>
                <c:pt idx="18">
                  <c:v>J2866</c:v>
                </c:pt>
                <c:pt idx="19">
                  <c:v>J2924</c:v>
                </c:pt>
                <c:pt idx="20">
                  <c:v>J3112</c:v>
                </c:pt>
                <c:pt idx="21">
                  <c:v>J2526</c:v>
                </c:pt>
                <c:pt idx="22">
                  <c:v>J2456</c:v>
                </c:pt>
                <c:pt idx="23">
                  <c:v>J2613</c:v>
                </c:pt>
                <c:pt idx="24">
                  <c:v>J3093</c:v>
                </c:pt>
                <c:pt idx="25">
                  <c:v>J2841</c:v>
                </c:pt>
                <c:pt idx="26">
                  <c:v>J2634</c:v>
                </c:pt>
                <c:pt idx="27">
                  <c:v>J2577</c:v>
                </c:pt>
                <c:pt idx="28">
                  <c:v>J2880</c:v>
                </c:pt>
                <c:pt idx="29">
                  <c:v>J3192</c:v>
                </c:pt>
                <c:pt idx="30">
                  <c:v>J3040</c:v>
                </c:pt>
                <c:pt idx="31">
                  <c:v>J3175</c:v>
                </c:pt>
                <c:pt idx="32">
                  <c:v>J2720</c:v>
                </c:pt>
                <c:pt idx="33">
                  <c:v>J2708</c:v>
                </c:pt>
                <c:pt idx="34">
                  <c:v>J2704</c:v>
                </c:pt>
                <c:pt idx="35">
                  <c:v>J2907</c:v>
                </c:pt>
                <c:pt idx="36">
                  <c:v>J2957</c:v>
                </c:pt>
                <c:pt idx="37">
                  <c:v>J2917</c:v>
                </c:pt>
                <c:pt idx="38">
                  <c:v>J3120</c:v>
                </c:pt>
                <c:pt idx="39">
                  <c:v>J2602</c:v>
                </c:pt>
                <c:pt idx="40">
                  <c:v>J2729</c:v>
                </c:pt>
                <c:pt idx="41">
                  <c:v>J2816</c:v>
                </c:pt>
                <c:pt idx="42">
                  <c:v>J3090</c:v>
                </c:pt>
                <c:pt idx="43">
                  <c:v>J2965</c:v>
                </c:pt>
                <c:pt idx="44">
                  <c:v>J2881</c:v>
                </c:pt>
                <c:pt idx="45">
                  <c:v>J2734</c:v>
                </c:pt>
                <c:pt idx="46">
                  <c:v>J2404</c:v>
                </c:pt>
                <c:pt idx="47">
                  <c:v>J2714</c:v>
                </c:pt>
                <c:pt idx="48">
                  <c:v>J2952</c:v>
                </c:pt>
                <c:pt idx="49">
                  <c:v>J2519</c:v>
                </c:pt>
                <c:pt idx="50">
                  <c:v>J3141</c:v>
                </c:pt>
                <c:pt idx="51">
                  <c:v>J3111</c:v>
                </c:pt>
                <c:pt idx="52">
                  <c:v>J3169</c:v>
                </c:pt>
                <c:pt idx="53">
                  <c:v>J2920</c:v>
                </c:pt>
                <c:pt idx="54">
                  <c:v>J3139</c:v>
                </c:pt>
                <c:pt idx="55">
                  <c:v>J2893</c:v>
                </c:pt>
                <c:pt idx="56">
                  <c:v>J2801</c:v>
                </c:pt>
                <c:pt idx="57">
                  <c:v>J3128</c:v>
                </c:pt>
                <c:pt idx="58">
                  <c:v>J2751</c:v>
                </c:pt>
                <c:pt idx="59">
                  <c:v>J2764</c:v>
                </c:pt>
                <c:pt idx="60">
                  <c:v>J2397</c:v>
                </c:pt>
                <c:pt idx="61">
                  <c:v>J3170</c:v>
                </c:pt>
                <c:pt idx="62">
                  <c:v>J2639</c:v>
                </c:pt>
                <c:pt idx="63">
                  <c:v>J2761</c:v>
                </c:pt>
                <c:pt idx="64">
                  <c:v>J2818</c:v>
                </c:pt>
                <c:pt idx="65">
                  <c:v>J2693</c:v>
                </c:pt>
                <c:pt idx="66">
                  <c:v>J2999</c:v>
                </c:pt>
                <c:pt idx="67">
                  <c:v>J3014</c:v>
                </c:pt>
                <c:pt idx="68">
                  <c:v>J2819</c:v>
                </c:pt>
                <c:pt idx="69">
                  <c:v>J2873</c:v>
                </c:pt>
                <c:pt idx="70">
                  <c:v>J2985</c:v>
                </c:pt>
                <c:pt idx="71">
                  <c:v>J2457</c:v>
                </c:pt>
                <c:pt idx="72">
                  <c:v>J2791</c:v>
                </c:pt>
                <c:pt idx="73">
                  <c:v>J3058</c:v>
                </c:pt>
                <c:pt idx="74">
                  <c:v>J3230</c:v>
                </c:pt>
                <c:pt idx="75">
                  <c:v>J3131</c:v>
                </c:pt>
                <c:pt idx="76">
                  <c:v>J2396</c:v>
                </c:pt>
                <c:pt idx="77">
                  <c:v>J3053</c:v>
                </c:pt>
                <c:pt idx="78">
                  <c:v>J2986</c:v>
                </c:pt>
                <c:pt idx="79">
                  <c:v>J3049</c:v>
                </c:pt>
                <c:pt idx="80">
                  <c:v>J2395</c:v>
                </c:pt>
                <c:pt idx="81">
                  <c:v>J2753</c:v>
                </c:pt>
                <c:pt idx="82">
                  <c:v>J2983</c:v>
                </c:pt>
                <c:pt idx="83">
                  <c:v>J2752</c:v>
                </c:pt>
                <c:pt idx="84">
                  <c:v>J2838</c:v>
                </c:pt>
                <c:pt idx="85">
                  <c:v>J2643</c:v>
                </c:pt>
                <c:pt idx="86">
                  <c:v>J2901</c:v>
                </c:pt>
                <c:pt idx="87">
                  <c:v>J2763</c:v>
                </c:pt>
                <c:pt idx="88">
                  <c:v>J2371</c:v>
                </c:pt>
                <c:pt idx="89">
                  <c:v>J2759</c:v>
                </c:pt>
                <c:pt idx="90">
                  <c:v>J2966</c:v>
                </c:pt>
                <c:pt idx="91">
                  <c:v>J3035</c:v>
                </c:pt>
                <c:pt idx="92">
                  <c:v>J3209</c:v>
                </c:pt>
                <c:pt idx="93">
                  <c:v>J2954</c:v>
                </c:pt>
                <c:pt idx="94">
                  <c:v>J2651</c:v>
                </c:pt>
                <c:pt idx="95">
                  <c:v>J2482</c:v>
                </c:pt>
                <c:pt idx="96">
                  <c:v>J2351</c:v>
                </c:pt>
                <c:pt idx="97">
                  <c:v>J2322</c:v>
                </c:pt>
                <c:pt idx="98">
                  <c:v>J2350</c:v>
                </c:pt>
                <c:pt idx="99">
                  <c:v>J2330</c:v>
                </c:pt>
                <c:pt idx="100">
                  <c:v>J3122</c:v>
                </c:pt>
                <c:pt idx="101">
                  <c:v>J2750</c:v>
                </c:pt>
                <c:pt idx="102">
                  <c:v>J2696</c:v>
                </c:pt>
                <c:pt idx="103">
                  <c:v>J2742</c:v>
                </c:pt>
                <c:pt idx="104">
                  <c:v>J2477</c:v>
                </c:pt>
                <c:pt idx="105">
                  <c:v>J2740</c:v>
                </c:pt>
                <c:pt idx="106">
                  <c:v>J2523</c:v>
                </c:pt>
                <c:pt idx="107">
                  <c:v>J2715</c:v>
                </c:pt>
                <c:pt idx="108">
                  <c:v>J3045</c:v>
                </c:pt>
                <c:pt idx="109">
                  <c:v>J2754</c:v>
                </c:pt>
                <c:pt idx="110">
                  <c:v>J3042</c:v>
                </c:pt>
                <c:pt idx="111">
                  <c:v>J3030</c:v>
                </c:pt>
                <c:pt idx="112">
                  <c:v>J2437</c:v>
                </c:pt>
                <c:pt idx="113">
                  <c:v>J2899</c:v>
                </c:pt>
                <c:pt idx="114">
                  <c:v>J2478</c:v>
                </c:pt>
                <c:pt idx="115">
                  <c:v>J2967</c:v>
                </c:pt>
                <c:pt idx="116">
                  <c:v>J2689</c:v>
                </c:pt>
                <c:pt idx="117">
                  <c:v>J2897</c:v>
                </c:pt>
                <c:pt idx="118">
                  <c:v>J2701</c:v>
                </c:pt>
                <c:pt idx="119">
                  <c:v>J2871</c:v>
                </c:pt>
                <c:pt idx="120">
                  <c:v>J2641</c:v>
                </c:pt>
              </c:strCache>
            </c:strRef>
          </c:cat>
          <c:val>
            <c:numRef>
              <c:f>ProjectCost_Sorted!$W$2:$W$122</c:f>
              <c:numCache>
                <c:formatCode>General</c:formatCode>
                <c:ptCount val="121"/>
                <c:pt idx="0">
                  <c:v>685.01838628141309</c:v>
                </c:pt>
                <c:pt idx="1">
                  <c:v>685.01838628141309</c:v>
                </c:pt>
                <c:pt idx="2">
                  <c:v>685.01838628141309</c:v>
                </c:pt>
                <c:pt idx="3">
                  <c:v>685.01838628141309</c:v>
                </c:pt>
                <c:pt idx="4">
                  <c:v>685.01838628141309</c:v>
                </c:pt>
                <c:pt idx="5">
                  <c:v>685.01838628141309</c:v>
                </c:pt>
                <c:pt idx="6">
                  <c:v>685.01838628141309</c:v>
                </c:pt>
                <c:pt idx="7">
                  <c:v>685.01838628141309</c:v>
                </c:pt>
                <c:pt idx="8">
                  <c:v>685.01838628141309</c:v>
                </c:pt>
                <c:pt idx="9">
                  <c:v>685.01838628141309</c:v>
                </c:pt>
                <c:pt idx="10">
                  <c:v>685.01838628141309</c:v>
                </c:pt>
                <c:pt idx="11">
                  <c:v>685.01838628141309</c:v>
                </c:pt>
                <c:pt idx="12">
                  <c:v>685.01838628141309</c:v>
                </c:pt>
                <c:pt idx="13">
                  <c:v>685.01838628141309</c:v>
                </c:pt>
                <c:pt idx="14">
                  <c:v>685.01838628141309</c:v>
                </c:pt>
                <c:pt idx="15">
                  <c:v>685.01838628141309</c:v>
                </c:pt>
                <c:pt idx="16">
                  <c:v>685.01838628141309</c:v>
                </c:pt>
                <c:pt idx="17">
                  <c:v>685.01838628141309</c:v>
                </c:pt>
                <c:pt idx="18">
                  <c:v>685.01838628141309</c:v>
                </c:pt>
                <c:pt idx="19">
                  <c:v>685.01838628141309</c:v>
                </c:pt>
                <c:pt idx="20">
                  <c:v>685.01838628141309</c:v>
                </c:pt>
                <c:pt idx="21">
                  <c:v>685.01838628141309</c:v>
                </c:pt>
                <c:pt idx="22">
                  <c:v>685.01838628141309</c:v>
                </c:pt>
                <c:pt idx="23">
                  <c:v>685.01838628141309</c:v>
                </c:pt>
                <c:pt idx="24">
                  <c:v>685.01838628141309</c:v>
                </c:pt>
                <c:pt idx="25">
                  <c:v>685.01838628141309</c:v>
                </c:pt>
                <c:pt idx="26">
                  <c:v>685.01838628141309</c:v>
                </c:pt>
                <c:pt idx="27">
                  <c:v>685.01838628141309</c:v>
                </c:pt>
                <c:pt idx="28">
                  <c:v>685.01838628141309</c:v>
                </c:pt>
                <c:pt idx="29">
                  <c:v>685.01838628141309</c:v>
                </c:pt>
                <c:pt idx="30">
                  <c:v>685.01838628141309</c:v>
                </c:pt>
                <c:pt idx="31">
                  <c:v>685.01838628141309</c:v>
                </c:pt>
                <c:pt idx="32">
                  <c:v>685.01838628141309</c:v>
                </c:pt>
                <c:pt idx="33">
                  <c:v>685.01838628141309</c:v>
                </c:pt>
                <c:pt idx="34">
                  <c:v>685.01838628141309</c:v>
                </c:pt>
                <c:pt idx="35">
                  <c:v>685.01838628141309</c:v>
                </c:pt>
                <c:pt idx="36">
                  <c:v>685.01838628141309</c:v>
                </c:pt>
                <c:pt idx="37">
                  <c:v>685.01838628141309</c:v>
                </c:pt>
                <c:pt idx="38">
                  <c:v>685.01838628141309</c:v>
                </c:pt>
                <c:pt idx="39">
                  <c:v>685.01838628141309</c:v>
                </c:pt>
                <c:pt idx="40">
                  <c:v>685.01838628141309</c:v>
                </c:pt>
                <c:pt idx="41">
                  <c:v>685.01838628141309</c:v>
                </c:pt>
                <c:pt idx="42">
                  <c:v>685.01838628141309</c:v>
                </c:pt>
                <c:pt idx="43">
                  <c:v>685.01838628141309</c:v>
                </c:pt>
                <c:pt idx="44">
                  <c:v>685.01838628141309</c:v>
                </c:pt>
                <c:pt idx="45">
                  <c:v>685.01838628141309</c:v>
                </c:pt>
                <c:pt idx="46">
                  <c:v>685.01838628141309</c:v>
                </c:pt>
                <c:pt idx="47">
                  <c:v>685.01838628141309</c:v>
                </c:pt>
                <c:pt idx="48">
                  <c:v>685.01838628141309</c:v>
                </c:pt>
                <c:pt idx="49">
                  <c:v>685.01838628141309</c:v>
                </c:pt>
                <c:pt idx="50">
                  <c:v>685.01838628141309</c:v>
                </c:pt>
                <c:pt idx="51">
                  <c:v>685.01838628141309</c:v>
                </c:pt>
                <c:pt idx="52">
                  <c:v>685.01838628141309</c:v>
                </c:pt>
                <c:pt idx="53">
                  <c:v>685.01838628141309</c:v>
                </c:pt>
                <c:pt idx="54">
                  <c:v>685.01838628141309</c:v>
                </c:pt>
                <c:pt idx="55">
                  <c:v>685.01838628141309</c:v>
                </c:pt>
                <c:pt idx="56">
                  <c:v>685.01838628141309</c:v>
                </c:pt>
                <c:pt idx="57">
                  <c:v>685.01838628141309</c:v>
                </c:pt>
                <c:pt idx="58">
                  <c:v>685.01838628141309</c:v>
                </c:pt>
                <c:pt idx="59">
                  <c:v>685.01838628141309</c:v>
                </c:pt>
                <c:pt idx="60">
                  <c:v>685.01838628141309</c:v>
                </c:pt>
                <c:pt idx="61">
                  <c:v>685.01838628141309</c:v>
                </c:pt>
                <c:pt idx="62">
                  <c:v>685.01838628141309</c:v>
                </c:pt>
                <c:pt idx="63">
                  <c:v>685.01838628141309</c:v>
                </c:pt>
                <c:pt idx="64">
                  <c:v>685.01838628141309</c:v>
                </c:pt>
                <c:pt idx="65">
                  <c:v>685.01838628141309</c:v>
                </c:pt>
                <c:pt idx="66">
                  <c:v>685.01838628141309</c:v>
                </c:pt>
                <c:pt idx="67">
                  <c:v>685.01838628141309</c:v>
                </c:pt>
                <c:pt idx="68">
                  <c:v>685.01838628141309</c:v>
                </c:pt>
                <c:pt idx="69">
                  <c:v>685.01838628141309</c:v>
                </c:pt>
                <c:pt idx="70">
                  <c:v>685.01838628141309</c:v>
                </c:pt>
                <c:pt idx="71">
                  <c:v>685.01838628141309</c:v>
                </c:pt>
                <c:pt idx="72">
                  <c:v>685.01838628141309</c:v>
                </c:pt>
                <c:pt idx="73">
                  <c:v>685.01838628141309</c:v>
                </c:pt>
                <c:pt idx="74">
                  <c:v>685.01838628141309</c:v>
                </c:pt>
                <c:pt idx="75">
                  <c:v>685.01838628141309</c:v>
                </c:pt>
                <c:pt idx="76">
                  <c:v>685.01838628141309</c:v>
                </c:pt>
                <c:pt idx="77">
                  <c:v>685.01838628141309</c:v>
                </c:pt>
                <c:pt idx="78">
                  <c:v>685.01838628141309</c:v>
                </c:pt>
                <c:pt idx="79">
                  <c:v>685.01838628141309</c:v>
                </c:pt>
                <c:pt idx="80">
                  <c:v>685.01838628141309</c:v>
                </c:pt>
                <c:pt idx="81">
                  <c:v>685.01838628141309</c:v>
                </c:pt>
                <c:pt idx="82">
                  <c:v>685.01838628141309</c:v>
                </c:pt>
                <c:pt idx="83">
                  <c:v>685.01838628141309</c:v>
                </c:pt>
                <c:pt idx="84">
                  <c:v>685.01838628141309</c:v>
                </c:pt>
                <c:pt idx="85">
                  <c:v>685.01838628141309</c:v>
                </c:pt>
                <c:pt idx="86">
                  <c:v>685.01838628141309</c:v>
                </c:pt>
                <c:pt idx="87">
                  <c:v>685.01838628141309</c:v>
                </c:pt>
                <c:pt idx="88">
                  <c:v>685.01838628141309</c:v>
                </c:pt>
                <c:pt idx="89">
                  <c:v>685.01838628141309</c:v>
                </c:pt>
                <c:pt idx="90">
                  <c:v>685.01838628141309</c:v>
                </c:pt>
                <c:pt idx="91">
                  <c:v>685.01838628141309</c:v>
                </c:pt>
                <c:pt idx="92">
                  <c:v>685.01838628141309</c:v>
                </c:pt>
                <c:pt idx="93">
                  <c:v>685.01838628141309</c:v>
                </c:pt>
                <c:pt idx="94">
                  <c:v>685.01838628141309</c:v>
                </c:pt>
                <c:pt idx="95">
                  <c:v>685.01838628141309</c:v>
                </c:pt>
                <c:pt idx="96">
                  <c:v>685.01838628141309</c:v>
                </c:pt>
                <c:pt idx="97">
                  <c:v>685.01838628141309</c:v>
                </c:pt>
                <c:pt idx="98">
                  <c:v>685.01838628141309</c:v>
                </c:pt>
                <c:pt idx="99">
                  <c:v>685.01838628141309</c:v>
                </c:pt>
                <c:pt idx="100">
                  <c:v>685.01838628141309</c:v>
                </c:pt>
                <c:pt idx="101">
                  <c:v>685.01838628141309</c:v>
                </c:pt>
                <c:pt idx="102">
                  <c:v>685.01838628141309</c:v>
                </c:pt>
                <c:pt idx="103">
                  <c:v>685.01838628141309</c:v>
                </c:pt>
                <c:pt idx="104">
                  <c:v>685.01838628141309</c:v>
                </c:pt>
                <c:pt idx="105">
                  <c:v>685.01838628141309</c:v>
                </c:pt>
                <c:pt idx="106">
                  <c:v>685.01838628141309</c:v>
                </c:pt>
                <c:pt idx="107">
                  <c:v>685.01838628141309</c:v>
                </c:pt>
                <c:pt idx="108">
                  <c:v>685.01838628141309</c:v>
                </c:pt>
                <c:pt idx="109">
                  <c:v>685.01838628141309</c:v>
                </c:pt>
                <c:pt idx="110">
                  <c:v>685.01838628141309</c:v>
                </c:pt>
                <c:pt idx="111">
                  <c:v>685.01838628141309</c:v>
                </c:pt>
                <c:pt idx="112">
                  <c:v>685.01838628141309</c:v>
                </c:pt>
                <c:pt idx="113">
                  <c:v>685.01838628141309</c:v>
                </c:pt>
                <c:pt idx="114">
                  <c:v>685.01838628141309</c:v>
                </c:pt>
                <c:pt idx="115">
                  <c:v>685.01838628141309</c:v>
                </c:pt>
                <c:pt idx="116">
                  <c:v>685.01838628141309</c:v>
                </c:pt>
                <c:pt idx="117">
                  <c:v>685.01838628141309</c:v>
                </c:pt>
                <c:pt idx="118">
                  <c:v>685.01838628141309</c:v>
                </c:pt>
                <c:pt idx="119">
                  <c:v>685.01838628141309</c:v>
                </c:pt>
                <c:pt idx="120">
                  <c:v>685.01838628141309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60B-424D-BD86-AE45D72A4B01}"/>
            </c:ext>
          </c:extLst>
        </c:ser>
        <c:ser>
          <c:idx val="4"/>
          <c:order val="4"/>
          <c:tx>
            <c:strRef>
              <c:f>ProjectCost_Sorted!$X$1</c:f>
              <c:strCache>
                <c:ptCount val="1"/>
                <c:pt idx="0">
                  <c:v>MS</c:v>
                </c:pt>
              </c:strCache>
            </c:strRef>
          </c:tx>
          <c:marker>
            <c:symbol val="none"/>
          </c:marker>
          <c:cat>
            <c:strRef>
              <c:f>ProjectCost_Sorted!$B$2:$B$122</c:f>
              <c:strCache>
                <c:ptCount val="121"/>
                <c:pt idx="0">
                  <c:v>J2914</c:v>
                </c:pt>
                <c:pt idx="1">
                  <c:v>J3081</c:v>
                </c:pt>
                <c:pt idx="2">
                  <c:v>J2737</c:v>
                </c:pt>
                <c:pt idx="3">
                  <c:v>J2869</c:v>
                </c:pt>
                <c:pt idx="4">
                  <c:v>J3109</c:v>
                </c:pt>
                <c:pt idx="5">
                  <c:v>J3186</c:v>
                </c:pt>
                <c:pt idx="6">
                  <c:v>J3231</c:v>
                </c:pt>
                <c:pt idx="7">
                  <c:v>J3118</c:v>
                </c:pt>
                <c:pt idx="8">
                  <c:v>J2956</c:v>
                </c:pt>
                <c:pt idx="9">
                  <c:v>J2773</c:v>
                </c:pt>
                <c:pt idx="10">
                  <c:v>J2629</c:v>
                </c:pt>
                <c:pt idx="11">
                  <c:v>J3028</c:v>
                </c:pt>
                <c:pt idx="12">
                  <c:v>J2571</c:v>
                </c:pt>
                <c:pt idx="13">
                  <c:v>J2685</c:v>
                </c:pt>
                <c:pt idx="14">
                  <c:v>J2865</c:v>
                </c:pt>
                <c:pt idx="15">
                  <c:v>J3082</c:v>
                </c:pt>
                <c:pt idx="16">
                  <c:v>J2955</c:v>
                </c:pt>
                <c:pt idx="17">
                  <c:v>J2864</c:v>
                </c:pt>
                <c:pt idx="18">
                  <c:v>J2866</c:v>
                </c:pt>
                <c:pt idx="19">
                  <c:v>J2924</c:v>
                </c:pt>
                <c:pt idx="20">
                  <c:v>J3112</c:v>
                </c:pt>
                <c:pt idx="21">
                  <c:v>J2526</c:v>
                </c:pt>
                <c:pt idx="22">
                  <c:v>J2456</c:v>
                </c:pt>
                <c:pt idx="23">
                  <c:v>J2613</c:v>
                </c:pt>
                <c:pt idx="24">
                  <c:v>J3093</c:v>
                </c:pt>
                <c:pt idx="25">
                  <c:v>J2841</c:v>
                </c:pt>
                <c:pt idx="26">
                  <c:v>J2634</c:v>
                </c:pt>
                <c:pt idx="27">
                  <c:v>J2577</c:v>
                </c:pt>
                <c:pt idx="28">
                  <c:v>J2880</c:v>
                </c:pt>
                <c:pt idx="29">
                  <c:v>J3192</c:v>
                </c:pt>
                <c:pt idx="30">
                  <c:v>J3040</c:v>
                </c:pt>
                <c:pt idx="31">
                  <c:v>J3175</c:v>
                </c:pt>
                <c:pt idx="32">
                  <c:v>J2720</c:v>
                </c:pt>
                <c:pt idx="33">
                  <c:v>J2708</c:v>
                </c:pt>
                <c:pt idx="34">
                  <c:v>J2704</c:v>
                </c:pt>
                <c:pt idx="35">
                  <c:v>J2907</c:v>
                </c:pt>
                <c:pt idx="36">
                  <c:v>J2957</c:v>
                </c:pt>
                <c:pt idx="37">
                  <c:v>J2917</c:v>
                </c:pt>
                <c:pt idx="38">
                  <c:v>J3120</c:v>
                </c:pt>
                <c:pt idx="39">
                  <c:v>J2602</c:v>
                </c:pt>
                <c:pt idx="40">
                  <c:v>J2729</c:v>
                </c:pt>
                <c:pt idx="41">
                  <c:v>J2816</c:v>
                </c:pt>
                <c:pt idx="42">
                  <c:v>J3090</c:v>
                </c:pt>
                <c:pt idx="43">
                  <c:v>J2965</c:v>
                </c:pt>
                <c:pt idx="44">
                  <c:v>J2881</c:v>
                </c:pt>
                <c:pt idx="45">
                  <c:v>J2734</c:v>
                </c:pt>
                <c:pt idx="46">
                  <c:v>J2404</c:v>
                </c:pt>
                <c:pt idx="47">
                  <c:v>J2714</c:v>
                </c:pt>
                <c:pt idx="48">
                  <c:v>J2952</c:v>
                </c:pt>
                <c:pt idx="49">
                  <c:v>J2519</c:v>
                </c:pt>
                <c:pt idx="50">
                  <c:v>J3141</c:v>
                </c:pt>
                <c:pt idx="51">
                  <c:v>J3111</c:v>
                </c:pt>
                <c:pt idx="52">
                  <c:v>J3169</c:v>
                </c:pt>
                <c:pt idx="53">
                  <c:v>J2920</c:v>
                </c:pt>
                <c:pt idx="54">
                  <c:v>J3139</c:v>
                </c:pt>
                <c:pt idx="55">
                  <c:v>J2893</c:v>
                </c:pt>
                <c:pt idx="56">
                  <c:v>J2801</c:v>
                </c:pt>
                <c:pt idx="57">
                  <c:v>J3128</c:v>
                </c:pt>
                <c:pt idx="58">
                  <c:v>J2751</c:v>
                </c:pt>
                <c:pt idx="59">
                  <c:v>J2764</c:v>
                </c:pt>
                <c:pt idx="60">
                  <c:v>J2397</c:v>
                </c:pt>
                <c:pt idx="61">
                  <c:v>J3170</c:v>
                </c:pt>
                <c:pt idx="62">
                  <c:v>J2639</c:v>
                </c:pt>
                <c:pt idx="63">
                  <c:v>J2761</c:v>
                </c:pt>
                <c:pt idx="64">
                  <c:v>J2818</c:v>
                </c:pt>
                <c:pt idx="65">
                  <c:v>J2693</c:v>
                </c:pt>
                <c:pt idx="66">
                  <c:v>J2999</c:v>
                </c:pt>
                <c:pt idx="67">
                  <c:v>J3014</c:v>
                </c:pt>
                <c:pt idx="68">
                  <c:v>J2819</c:v>
                </c:pt>
                <c:pt idx="69">
                  <c:v>J2873</c:v>
                </c:pt>
                <c:pt idx="70">
                  <c:v>J2985</c:v>
                </c:pt>
                <c:pt idx="71">
                  <c:v>J2457</c:v>
                </c:pt>
                <c:pt idx="72">
                  <c:v>J2791</c:v>
                </c:pt>
                <c:pt idx="73">
                  <c:v>J3058</c:v>
                </c:pt>
                <c:pt idx="74">
                  <c:v>J3230</c:v>
                </c:pt>
                <c:pt idx="75">
                  <c:v>J3131</c:v>
                </c:pt>
                <c:pt idx="76">
                  <c:v>J2396</c:v>
                </c:pt>
                <c:pt idx="77">
                  <c:v>J3053</c:v>
                </c:pt>
                <c:pt idx="78">
                  <c:v>J2986</c:v>
                </c:pt>
                <c:pt idx="79">
                  <c:v>J3049</c:v>
                </c:pt>
                <c:pt idx="80">
                  <c:v>J2395</c:v>
                </c:pt>
                <c:pt idx="81">
                  <c:v>J2753</c:v>
                </c:pt>
                <c:pt idx="82">
                  <c:v>J2983</c:v>
                </c:pt>
                <c:pt idx="83">
                  <c:v>J2752</c:v>
                </c:pt>
                <c:pt idx="84">
                  <c:v>J2838</c:v>
                </c:pt>
                <c:pt idx="85">
                  <c:v>J2643</c:v>
                </c:pt>
                <c:pt idx="86">
                  <c:v>J2901</c:v>
                </c:pt>
                <c:pt idx="87">
                  <c:v>J2763</c:v>
                </c:pt>
                <c:pt idx="88">
                  <c:v>J2371</c:v>
                </c:pt>
                <c:pt idx="89">
                  <c:v>J2759</c:v>
                </c:pt>
                <c:pt idx="90">
                  <c:v>J2966</c:v>
                </c:pt>
                <c:pt idx="91">
                  <c:v>J3035</c:v>
                </c:pt>
                <c:pt idx="92">
                  <c:v>J3209</c:v>
                </c:pt>
                <c:pt idx="93">
                  <c:v>J2954</c:v>
                </c:pt>
                <c:pt idx="94">
                  <c:v>J2651</c:v>
                </c:pt>
                <c:pt idx="95">
                  <c:v>J2482</c:v>
                </c:pt>
                <c:pt idx="96">
                  <c:v>J2351</c:v>
                </c:pt>
                <c:pt idx="97">
                  <c:v>J2322</c:v>
                </c:pt>
                <c:pt idx="98">
                  <c:v>J2350</c:v>
                </c:pt>
                <c:pt idx="99">
                  <c:v>J2330</c:v>
                </c:pt>
                <c:pt idx="100">
                  <c:v>J3122</c:v>
                </c:pt>
                <c:pt idx="101">
                  <c:v>J2750</c:v>
                </c:pt>
                <c:pt idx="102">
                  <c:v>J2696</c:v>
                </c:pt>
                <c:pt idx="103">
                  <c:v>J2742</c:v>
                </c:pt>
                <c:pt idx="104">
                  <c:v>J2477</c:v>
                </c:pt>
                <c:pt idx="105">
                  <c:v>J2740</c:v>
                </c:pt>
                <c:pt idx="106">
                  <c:v>J2523</c:v>
                </c:pt>
                <c:pt idx="107">
                  <c:v>J2715</c:v>
                </c:pt>
                <c:pt idx="108">
                  <c:v>J3045</c:v>
                </c:pt>
                <c:pt idx="109">
                  <c:v>J2754</c:v>
                </c:pt>
                <c:pt idx="110">
                  <c:v>J3042</c:v>
                </c:pt>
                <c:pt idx="111">
                  <c:v>J3030</c:v>
                </c:pt>
                <c:pt idx="112">
                  <c:v>J2437</c:v>
                </c:pt>
                <c:pt idx="113">
                  <c:v>J2899</c:v>
                </c:pt>
                <c:pt idx="114">
                  <c:v>J2478</c:v>
                </c:pt>
                <c:pt idx="115">
                  <c:v>J2967</c:v>
                </c:pt>
                <c:pt idx="116">
                  <c:v>J2689</c:v>
                </c:pt>
                <c:pt idx="117">
                  <c:v>J2897</c:v>
                </c:pt>
                <c:pt idx="118">
                  <c:v>J2701</c:v>
                </c:pt>
                <c:pt idx="119">
                  <c:v>J2871</c:v>
                </c:pt>
                <c:pt idx="120">
                  <c:v>J2641</c:v>
                </c:pt>
              </c:strCache>
            </c:strRef>
          </c:cat>
          <c:val>
            <c:numRef>
              <c:f>ProjectCost_Sorted!$X$2:$X$122</c:f>
              <c:numCache>
                <c:formatCode>General</c:formatCode>
                <c:ptCount val="121"/>
                <c:pt idx="0">
                  <c:v>763.59369814554714</c:v>
                </c:pt>
                <c:pt idx="1">
                  <c:v>763.59369814554714</c:v>
                </c:pt>
                <c:pt idx="2">
                  <c:v>763.59369814554714</c:v>
                </c:pt>
                <c:pt idx="3">
                  <c:v>763.59369814554714</c:v>
                </c:pt>
                <c:pt idx="4">
                  <c:v>763.59369814554714</c:v>
                </c:pt>
                <c:pt idx="5">
                  <c:v>763.59369814554714</c:v>
                </c:pt>
                <c:pt idx="6">
                  <c:v>763.59369814554714</c:v>
                </c:pt>
                <c:pt idx="7">
                  <c:v>763.59369814554714</c:v>
                </c:pt>
                <c:pt idx="8">
                  <c:v>763.59369814554714</c:v>
                </c:pt>
                <c:pt idx="9">
                  <c:v>763.59369814554714</c:v>
                </c:pt>
                <c:pt idx="10">
                  <c:v>763.59369814554714</c:v>
                </c:pt>
                <c:pt idx="11">
                  <c:v>763.59369814554714</c:v>
                </c:pt>
                <c:pt idx="12">
                  <c:v>763.59369814554714</c:v>
                </c:pt>
                <c:pt idx="13">
                  <c:v>763.59369814554714</c:v>
                </c:pt>
                <c:pt idx="14">
                  <c:v>763.59369814554714</c:v>
                </c:pt>
                <c:pt idx="15">
                  <c:v>763.59369814554714</c:v>
                </c:pt>
                <c:pt idx="16">
                  <c:v>763.59369814554714</c:v>
                </c:pt>
                <c:pt idx="17">
                  <c:v>763.59369814554714</c:v>
                </c:pt>
                <c:pt idx="18">
                  <c:v>763.59369814554714</c:v>
                </c:pt>
                <c:pt idx="19">
                  <c:v>763.59369814554714</c:v>
                </c:pt>
                <c:pt idx="20">
                  <c:v>763.59369814554714</c:v>
                </c:pt>
                <c:pt idx="21">
                  <c:v>763.59369814554714</c:v>
                </c:pt>
                <c:pt idx="22">
                  <c:v>763.59369814554714</c:v>
                </c:pt>
                <c:pt idx="23">
                  <c:v>763.59369814554714</c:v>
                </c:pt>
                <c:pt idx="24">
                  <c:v>763.59369814554714</c:v>
                </c:pt>
                <c:pt idx="25">
                  <c:v>763.59369814554714</c:v>
                </c:pt>
                <c:pt idx="26">
                  <c:v>763.59369814554714</c:v>
                </c:pt>
                <c:pt idx="27">
                  <c:v>763.59369814554714</c:v>
                </c:pt>
                <c:pt idx="28">
                  <c:v>763.59369814554714</c:v>
                </c:pt>
                <c:pt idx="29">
                  <c:v>763.59369814554714</c:v>
                </c:pt>
                <c:pt idx="30">
                  <c:v>763.59369814554714</c:v>
                </c:pt>
                <c:pt idx="31">
                  <c:v>763.59369814554714</c:v>
                </c:pt>
                <c:pt idx="32">
                  <c:v>763.59369814554714</c:v>
                </c:pt>
                <c:pt idx="33">
                  <c:v>763.59369814554714</c:v>
                </c:pt>
                <c:pt idx="34">
                  <c:v>763.59369814554714</c:v>
                </c:pt>
                <c:pt idx="35">
                  <c:v>763.59369814554714</c:v>
                </c:pt>
                <c:pt idx="36">
                  <c:v>763.59369814554714</c:v>
                </c:pt>
                <c:pt idx="37">
                  <c:v>763.59369814554714</c:v>
                </c:pt>
                <c:pt idx="38">
                  <c:v>763.59369814554714</c:v>
                </c:pt>
                <c:pt idx="39">
                  <c:v>763.59369814554714</c:v>
                </c:pt>
                <c:pt idx="40">
                  <c:v>763.59369814554714</c:v>
                </c:pt>
                <c:pt idx="41">
                  <c:v>763.59369814554714</c:v>
                </c:pt>
                <c:pt idx="42">
                  <c:v>763.59369814554714</c:v>
                </c:pt>
                <c:pt idx="43">
                  <c:v>763.59369814554714</c:v>
                </c:pt>
                <c:pt idx="44">
                  <c:v>763.59369814554714</c:v>
                </c:pt>
                <c:pt idx="45">
                  <c:v>763.59369814554714</c:v>
                </c:pt>
                <c:pt idx="46">
                  <c:v>763.59369814554714</c:v>
                </c:pt>
                <c:pt idx="47">
                  <c:v>763.59369814554714</c:v>
                </c:pt>
                <c:pt idx="48">
                  <c:v>763.59369814554714</c:v>
                </c:pt>
                <c:pt idx="49">
                  <c:v>763.59369814554714</c:v>
                </c:pt>
                <c:pt idx="50">
                  <c:v>763.59369814554714</c:v>
                </c:pt>
                <c:pt idx="51">
                  <c:v>763.59369814554714</c:v>
                </c:pt>
                <c:pt idx="52">
                  <c:v>763.59369814554714</c:v>
                </c:pt>
                <c:pt idx="53">
                  <c:v>763.59369814554714</c:v>
                </c:pt>
                <c:pt idx="54">
                  <c:v>763.59369814554714</c:v>
                </c:pt>
                <c:pt idx="55">
                  <c:v>763.59369814554714</c:v>
                </c:pt>
                <c:pt idx="56">
                  <c:v>763.59369814554714</c:v>
                </c:pt>
                <c:pt idx="57">
                  <c:v>763.59369814554714</c:v>
                </c:pt>
                <c:pt idx="58">
                  <c:v>763.59369814554714</c:v>
                </c:pt>
                <c:pt idx="59">
                  <c:v>763.59369814554714</c:v>
                </c:pt>
                <c:pt idx="60">
                  <c:v>763.59369814554714</c:v>
                </c:pt>
                <c:pt idx="61">
                  <c:v>763.59369814554714</c:v>
                </c:pt>
                <c:pt idx="62">
                  <c:v>763.59369814554714</c:v>
                </c:pt>
                <c:pt idx="63">
                  <c:v>763.59369814554714</c:v>
                </c:pt>
                <c:pt idx="64">
                  <c:v>763.59369814554714</c:v>
                </c:pt>
                <c:pt idx="65">
                  <c:v>763.59369814554714</c:v>
                </c:pt>
                <c:pt idx="66">
                  <c:v>763.59369814554714</c:v>
                </c:pt>
                <c:pt idx="67">
                  <c:v>763.59369814554714</c:v>
                </c:pt>
                <c:pt idx="68">
                  <c:v>763.59369814554714</c:v>
                </c:pt>
                <c:pt idx="69">
                  <c:v>763.59369814554714</c:v>
                </c:pt>
                <c:pt idx="70">
                  <c:v>763.59369814554714</c:v>
                </c:pt>
                <c:pt idx="71">
                  <c:v>763.59369814554714</c:v>
                </c:pt>
                <c:pt idx="72">
                  <c:v>763.59369814554714</c:v>
                </c:pt>
                <c:pt idx="73">
                  <c:v>763.59369814554714</c:v>
                </c:pt>
                <c:pt idx="74">
                  <c:v>763.59369814554714</c:v>
                </c:pt>
                <c:pt idx="75">
                  <c:v>763.59369814554714</c:v>
                </c:pt>
                <c:pt idx="76">
                  <c:v>763.59369814554714</c:v>
                </c:pt>
                <c:pt idx="77">
                  <c:v>763.59369814554714</c:v>
                </c:pt>
                <c:pt idx="78">
                  <c:v>763.59369814554714</c:v>
                </c:pt>
                <c:pt idx="79">
                  <c:v>763.59369814554714</c:v>
                </c:pt>
                <c:pt idx="80">
                  <c:v>763.59369814554714</c:v>
                </c:pt>
                <c:pt idx="81">
                  <c:v>763.59369814554714</c:v>
                </c:pt>
                <c:pt idx="82">
                  <c:v>763.59369814554714</c:v>
                </c:pt>
                <c:pt idx="83">
                  <c:v>763.59369814554714</c:v>
                </c:pt>
                <c:pt idx="84">
                  <c:v>763.59369814554714</c:v>
                </c:pt>
                <c:pt idx="85">
                  <c:v>763.59369814554714</c:v>
                </c:pt>
                <c:pt idx="86">
                  <c:v>763.59369814554714</c:v>
                </c:pt>
                <c:pt idx="87">
                  <c:v>763.59369814554714</c:v>
                </c:pt>
                <c:pt idx="88">
                  <c:v>763.59369814554714</c:v>
                </c:pt>
                <c:pt idx="89">
                  <c:v>763.59369814554714</c:v>
                </c:pt>
                <c:pt idx="90">
                  <c:v>763.59369814554714</c:v>
                </c:pt>
                <c:pt idx="91">
                  <c:v>763.59369814554714</c:v>
                </c:pt>
                <c:pt idx="92">
                  <c:v>763.59369814554714</c:v>
                </c:pt>
                <c:pt idx="93">
                  <c:v>763.59369814554714</c:v>
                </c:pt>
                <c:pt idx="94">
                  <c:v>763.59369814554714</c:v>
                </c:pt>
                <c:pt idx="95">
                  <c:v>763.59369814554714</c:v>
                </c:pt>
                <c:pt idx="96">
                  <c:v>763.59369814554714</c:v>
                </c:pt>
                <c:pt idx="97">
                  <c:v>763.59369814554714</c:v>
                </c:pt>
                <c:pt idx="98">
                  <c:v>763.59369814554714</c:v>
                </c:pt>
                <c:pt idx="99">
                  <c:v>763.59369814554714</c:v>
                </c:pt>
                <c:pt idx="100">
                  <c:v>763.59369814554714</c:v>
                </c:pt>
                <c:pt idx="101">
                  <c:v>763.59369814554714</c:v>
                </c:pt>
                <c:pt idx="102">
                  <c:v>763.59369814554714</c:v>
                </c:pt>
                <c:pt idx="103">
                  <c:v>763.59369814554714</c:v>
                </c:pt>
                <c:pt idx="104">
                  <c:v>763.59369814554714</c:v>
                </c:pt>
                <c:pt idx="105">
                  <c:v>763.59369814554714</c:v>
                </c:pt>
                <c:pt idx="106">
                  <c:v>763.59369814554714</c:v>
                </c:pt>
                <c:pt idx="107">
                  <c:v>763.59369814554714</c:v>
                </c:pt>
                <c:pt idx="108">
                  <c:v>763.59369814554714</c:v>
                </c:pt>
                <c:pt idx="109">
                  <c:v>763.59369814554714</c:v>
                </c:pt>
                <c:pt idx="110">
                  <c:v>763.59369814554714</c:v>
                </c:pt>
                <c:pt idx="111">
                  <c:v>763.59369814554714</c:v>
                </c:pt>
                <c:pt idx="112">
                  <c:v>763.59369814554714</c:v>
                </c:pt>
                <c:pt idx="113">
                  <c:v>763.59369814554714</c:v>
                </c:pt>
                <c:pt idx="114">
                  <c:v>763.59369814554714</c:v>
                </c:pt>
                <c:pt idx="115">
                  <c:v>763.59369814554714</c:v>
                </c:pt>
                <c:pt idx="116">
                  <c:v>763.59369814554714</c:v>
                </c:pt>
                <c:pt idx="117">
                  <c:v>763.59369814554714</c:v>
                </c:pt>
                <c:pt idx="118">
                  <c:v>763.59369814554714</c:v>
                </c:pt>
                <c:pt idx="119">
                  <c:v>763.59369814554714</c:v>
                </c:pt>
                <c:pt idx="120">
                  <c:v>763.59369814554714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60B-424D-BD86-AE45D72A4B01}"/>
            </c:ext>
          </c:extLst>
        </c:ser>
        <c:ser>
          <c:idx val="5"/>
          <c:order val="5"/>
          <c:tx>
            <c:strRef>
              <c:f>ProjectCost_Sorted!$Y$1</c:f>
              <c:strCache>
                <c:ptCount val="1"/>
                <c:pt idx="0">
                  <c:v>TX</c:v>
                </c:pt>
              </c:strCache>
            </c:strRef>
          </c:tx>
          <c:marker>
            <c:symbol val="none"/>
          </c:marker>
          <c:cat>
            <c:strRef>
              <c:f>ProjectCost_Sorted!$B$2:$B$122</c:f>
              <c:strCache>
                <c:ptCount val="121"/>
                <c:pt idx="0">
                  <c:v>J2914</c:v>
                </c:pt>
                <c:pt idx="1">
                  <c:v>J3081</c:v>
                </c:pt>
                <c:pt idx="2">
                  <c:v>J2737</c:v>
                </c:pt>
                <c:pt idx="3">
                  <c:v>J2869</c:v>
                </c:pt>
                <c:pt idx="4">
                  <c:v>J3109</c:v>
                </c:pt>
                <c:pt idx="5">
                  <c:v>J3186</c:v>
                </c:pt>
                <c:pt idx="6">
                  <c:v>J3231</c:v>
                </c:pt>
                <c:pt idx="7">
                  <c:v>J3118</c:v>
                </c:pt>
                <c:pt idx="8">
                  <c:v>J2956</c:v>
                </c:pt>
                <c:pt idx="9">
                  <c:v>J2773</c:v>
                </c:pt>
                <c:pt idx="10">
                  <c:v>J2629</c:v>
                </c:pt>
                <c:pt idx="11">
                  <c:v>J3028</c:v>
                </c:pt>
                <c:pt idx="12">
                  <c:v>J2571</c:v>
                </c:pt>
                <c:pt idx="13">
                  <c:v>J2685</c:v>
                </c:pt>
                <c:pt idx="14">
                  <c:v>J2865</c:v>
                </c:pt>
                <c:pt idx="15">
                  <c:v>J3082</c:v>
                </c:pt>
                <c:pt idx="16">
                  <c:v>J2955</c:v>
                </c:pt>
                <c:pt idx="17">
                  <c:v>J2864</c:v>
                </c:pt>
                <c:pt idx="18">
                  <c:v>J2866</c:v>
                </c:pt>
                <c:pt idx="19">
                  <c:v>J2924</c:v>
                </c:pt>
                <c:pt idx="20">
                  <c:v>J3112</c:v>
                </c:pt>
                <c:pt idx="21">
                  <c:v>J2526</c:v>
                </c:pt>
                <c:pt idx="22">
                  <c:v>J2456</c:v>
                </c:pt>
                <c:pt idx="23">
                  <c:v>J2613</c:v>
                </c:pt>
                <c:pt idx="24">
                  <c:v>J3093</c:v>
                </c:pt>
                <c:pt idx="25">
                  <c:v>J2841</c:v>
                </c:pt>
                <c:pt idx="26">
                  <c:v>J2634</c:v>
                </c:pt>
                <c:pt idx="27">
                  <c:v>J2577</c:v>
                </c:pt>
                <c:pt idx="28">
                  <c:v>J2880</c:v>
                </c:pt>
                <c:pt idx="29">
                  <c:v>J3192</c:v>
                </c:pt>
                <c:pt idx="30">
                  <c:v>J3040</c:v>
                </c:pt>
                <c:pt idx="31">
                  <c:v>J3175</c:v>
                </c:pt>
                <c:pt idx="32">
                  <c:v>J2720</c:v>
                </c:pt>
                <c:pt idx="33">
                  <c:v>J2708</c:v>
                </c:pt>
                <c:pt idx="34">
                  <c:v>J2704</c:v>
                </c:pt>
                <c:pt idx="35">
                  <c:v>J2907</c:v>
                </c:pt>
                <c:pt idx="36">
                  <c:v>J2957</c:v>
                </c:pt>
                <c:pt idx="37">
                  <c:v>J2917</c:v>
                </c:pt>
                <c:pt idx="38">
                  <c:v>J3120</c:v>
                </c:pt>
                <c:pt idx="39">
                  <c:v>J2602</c:v>
                </c:pt>
                <c:pt idx="40">
                  <c:v>J2729</c:v>
                </c:pt>
                <c:pt idx="41">
                  <c:v>J2816</c:v>
                </c:pt>
                <c:pt idx="42">
                  <c:v>J3090</c:v>
                </c:pt>
                <c:pt idx="43">
                  <c:v>J2965</c:v>
                </c:pt>
                <c:pt idx="44">
                  <c:v>J2881</c:v>
                </c:pt>
                <c:pt idx="45">
                  <c:v>J2734</c:v>
                </c:pt>
                <c:pt idx="46">
                  <c:v>J2404</c:v>
                </c:pt>
                <c:pt idx="47">
                  <c:v>J2714</c:v>
                </c:pt>
                <c:pt idx="48">
                  <c:v>J2952</c:v>
                </c:pt>
                <c:pt idx="49">
                  <c:v>J2519</c:v>
                </c:pt>
                <c:pt idx="50">
                  <c:v>J3141</c:v>
                </c:pt>
                <c:pt idx="51">
                  <c:v>J3111</c:v>
                </c:pt>
                <c:pt idx="52">
                  <c:v>J3169</c:v>
                </c:pt>
                <c:pt idx="53">
                  <c:v>J2920</c:v>
                </c:pt>
                <c:pt idx="54">
                  <c:v>J3139</c:v>
                </c:pt>
                <c:pt idx="55">
                  <c:v>J2893</c:v>
                </c:pt>
                <c:pt idx="56">
                  <c:v>J2801</c:v>
                </c:pt>
                <c:pt idx="57">
                  <c:v>J3128</c:v>
                </c:pt>
                <c:pt idx="58">
                  <c:v>J2751</c:v>
                </c:pt>
                <c:pt idx="59">
                  <c:v>J2764</c:v>
                </c:pt>
                <c:pt idx="60">
                  <c:v>J2397</c:v>
                </c:pt>
                <c:pt idx="61">
                  <c:v>J3170</c:v>
                </c:pt>
                <c:pt idx="62">
                  <c:v>J2639</c:v>
                </c:pt>
                <c:pt idx="63">
                  <c:v>J2761</c:v>
                </c:pt>
                <c:pt idx="64">
                  <c:v>J2818</c:v>
                </c:pt>
                <c:pt idx="65">
                  <c:v>J2693</c:v>
                </c:pt>
                <c:pt idx="66">
                  <c:v>J2999</c:v>
                </c:pt>
                <c:pt idx="67">
                  <c:v>J3014</c:v>
                </c:pt>
                <c:pt idx="68">
                  <c:v>J2819</c:v>
                </c:pt>
                <c:pt idx="69">
                  <c:v>J2873</c:v>
                </c:pt>
                <c:pt idx="70">
                  <c:v>J2985</c:v>
                </c:pt>
                <c:pt idx="71">
                  <c:v>J2457</c:v>
                </c:pt>
                <c:pt idx="72">
                  <c:v>J2791</c:v>
                </c:pt>
                <c:pt idx="73">
                  <c:v>J3058</c:v>
                </c:pt>
                <c:pt idx="74">
                  <c:v>J3230</c:v>
                </c:pt>
                <c:pt idx="75">
                  <c:v>J3131</c:v>
                </c:pt>
                <c:pt idx="76">
                  <c:v>J2396</c:v>
                </c:pt>
                <c:pt idx="77">
                  <c:v>J3053</c:v>
                </c:pt>
                <c:pt idx="78">
                  <c:v>J2986</c:v>
                </c:pt>
                <c:pt idx="79">
                  <c:v>J3049</c:v>
                </c:pt>
                <c:pt idx="80">
                  <c:v>J2395</c:v>
                </c:pt>
                <c:pt idx="81">
                  <c:v>J2753</c:v>
                </c:pt>
                <c:pt idx="82">
                  <c:v>J2983</c:v>
                </c:pt>
                <c:pt idx="83">
                  <c:v>J2752</c:v>
                </c:pt>
                <c:pt idx="84">
                  <c:v>J2838</c:v>
                </c:pt>
                <c:pt idx="85">
                  <c:v>J2643</c:v>
                </c:pt>
                <c:pt idx="86">
                  <c:v>J2901</c:v>
                </c:pt>
                <c:pt idx="87">
                  <c:v>J2763</c:v>
                </c:pt>
                <c:pt idx="88">
                  <c:v>J2371</c:v>
                </c:pt>
                <c:pt idx="89">
                  <c:v>J2759</c:v>
                </c:pt>
                <c:pt idx="90">
                  <c:v>J2966</c:v>
                </c:pt>
                <c:pt idx="91">
                  <c:v>J3035</c:v>
                </c:pt>
                <c:pt idx="92">
                  <c:v>J3209</c:v>
                </c:pt>
                <c:pt idx="93">
                  <c:v>J2954</c:v>
                </c:pt>
                <c:pt idx="94">
                  <c:v>J2651</c:v>
                </c:pt>
                <c:pt idx="95">
                  <c:v>J2482</c:v>
                </c:pt>
                <c:pt idx="96">
                  <c:v>J2351</c:v>
                </c:pt>
                <c:pt idx="97">
                  <c:v>J2322</c:v>
                </c:pt>
                <c:pt idx="98">
                  <c:v>J2350</c:v>
                </c:pt>
                <c:pt idx="99">
                  <c:v>J2330</c:v>
                </c:pt>
                <c:pt idx="100">
                  <c:v>J3122</c:v>
                </c:pt>
                <c:pt idx="101">
                  <c:v>J2750</c:v>
                </c:pt>
                <c:pt idx="102">
                  <c:v>J2696</c:v>
                </c:pt>
                <c:pt idx="103">
                  <c:v>J2742</c:v>
                </c:pt>
                <c:pt idx="104">
                  <c:v>J2477</c:v>
                </c:pt>
                <c:pt idx="105">
                  <c:v>J2740</c:v>
                </c:pt>
                <c:pt idx="106">
                  <c:v>J2523</c:v>
                </c:pt>
                <c:pt idx="107">
                  <c:v>J2715</c:v>
                </c:pt>
                <c:pt idx="108">
                  <c:v>J3045</c:v>
                </c:pt>
                <c:pt idx="109">
                  <c:v>J2754</c:v>
                </c:pt>
                <c:pt idx="110">
                  <c:v>J3042</c:v>
                </c:pt>
                <c:pt idx="111">
                  <c:v>J3030</c:v>
                </c:pt>
                <c:pt idx="112">
                  <c:v>J2437</c:v>
                </c:pt>
                <c:pt idx="113">
                  <c:v>J2899</c:v>
                </c:pt>
                <c:pt idx="114">
                  <c:v>J2478</c:v>
                </c:pt>
                <c:pt idx="115">
                  <c:v>J2967</c:v>
                </c:pt>
                <c:pt idx="116">
                  <c:v>J2689</c:v>
                </c:pt>
                <c:pt idx="117">
                  <c:v>J2897</c:v>
                </c:pt>
                <c:pt idx="118">
                  <c:v>J2701</c:v>
                </c:pt>
                <c:pt idx="119">
                  <c:v>J2871</c:v>
                </c:pt>
                <c:pt idx="120">
                  <c:v>J2641</c:v>
                </c:pt>
              </c:strCache>
            </c:strRef>
          </c:cat>
          <c:val>
            <c:numRef>
              <c:f>ProjectCost_Sorted!$Y$2:$Y$122</c:f>
              <c:numCache>
                <c:formatCode>General</c:formatCode>
                <c:ptCount val="121"/>
                <c:pt idx="0">
                  <c:v>449.5778779028924</c:v>
                </c:pt>
                <c:pt idx="1">
                  <c:v>449.5778779028924</c:v>
                </c:pt>
                <c:pt idx="2">
                  <c:v>449.5778779028924</c:v>
                </c:pt>
                <c:pt idx="3">
                  <c:v>449.5778779028924</c:v>
                </c:pt>
                <c:pt idx="4">
                  <c:v>449.5778779028924</c:v>
                </c:pt>
                <c:pt idx="5">
                  <c:v>449.5778779028924</c:v>
                </c:pt>
                <c:pt idx="6">
                  <c:v>449.5778779028924</c:v>
                </c:pt>
                <c:pt idx="7">
                  <c:v>449.5778779028924</c:v>
                </c:pt>
                <c:pt idx="8">
                  <c:v>449.5778779028924</c:v>
                </c:pt>
                <c:pt idx="9">
                  <c:v>449.5778779028924</c:v>
                </c:pt>
                <c:pt idx="10">
                  <c:v>449.5778779028924</c:v>
                </c:pt>
                <c:pt idx="11">
                  <c:v>449.5778779028924</c:v>
                </c:pt>
                <c:pt idx="12">
                  <c:v>449.5778779028924</c:v>
                </c:pt>
                <c:pt idx="13">
                  <c:v>449.5778779028924</c:v>
                </c:pt>
                <c:pt idx="14">
                  <c:v>449.5778779028924</c:v>
                </c:pt>
                <c:pt idx="15">
                  <c:v>449.5778779028924</c:v>
                </c:pt>
                <c:pt idx="16">
                  <c:v>449.5778779028924</c:v>
                </c:pt>
                <c:pt idx="17">
                  <c:v>449.5778779028924</c:v>
                </c:pt>
                <c:pt idx="18">
                  <c:v>449.5778779028924</c:v>
                </c:pt>
                <c:pt idx="19">
                  <c:v>449.5778779028924</c:v>
                </c:pt>
                <c:pt idx="20">
                  <c:v>449.5778779028924</c:v>
                </c:pt>
                <c:pt idx="21">
                  <c:v>449.5778779028924</c:v>
                </c:pt>
                <c:pt idx="22">
                  <c:v>449.5778779028924</c:v>
                </c:pt>
                <c:pt idx="23">
                  <c:v>449.5778779028924</c:v>
                </c:pt>
                <c:pt idx="24">
                  <c:v>449.5778779028924</c:v>
                </c:pt>
                <c:pt idx="25">
                  <c:v>449.5778779028924</c:v>
                </c:pt>
                <c:pt idx="26">
                  <c:v>449.5778779028924</c:v>
                </c:pt>
                <c:pt idx="27">
                  <c:v>449.5778779028924</c:v>
                </c:pt>
                <c:pt idx="28">
                  <c:v>449.5778779028924</c:v>
                </c:pt>
                <c:pt idx="29">
                  <c:v>449.5778779028924</c:v>
                </c:pt>
                <c:pt idx="30">
                  <c:v>449.5778779028924</c:v>
                </c:pt>
                <c:pt idx="31">
                  <c:v>449.5778779028924</c:v>
                </c:pt>
                <c:pt idx="32">
                  <c:v>449.5778779028924</c:v>
                </c:pt>
                <c:pt idx="33">
                  <c:v>449.5778779028924</c:v>
                </c:pt>
                <c:pt idx="34">
                  <c:v>449.5778779028924</c:v>
                </c:pt>
                <c:pt idx="35">
                  <c:v>449.5778779028924</c:v>
                </c:pt>
                <c:pt idx="36">
                  <c:v>449.5778779028924</c:v>
                </c:pt>
                <c:pt idx="37">
                  <c:v>449.5778779028924</c:v>
                </c:pt>
                <c:pt idx="38">
                  <c:v>449.5778779028924</c:v>
                </c:pt>
                <c:pt idx="39">
                  <c:v>449.5778779028924</c:v>
                </c:pt>
                <c:pt idx="40">
                  <c:v>449.5778779028924</c:v>
                </c:pt>
                <c:pt idx="41">
                  <c:v>449.5778779028924</c:v>
                </c:pt>
                <c:pt idx="42">
                  <c:v>449.5778779028924</c:v>
                </c:pt>
                <c:pt idx="43">
                  <c:v>449.5778779028924</c:v>
                </c:pt>
                <c:pt idx="44">
                  <c:v>449.5778779028924</c:v>
                </c:pt>
                <c:pt idx="45">
                  <c:v>449.5778779028924</c:v>
                </c:pt>
                <c:pt idx="46">
                  <c:v>449.5778779028924</c:v>
                </c:pt>
                <c:pt idx="47">
                  <c:v>449.5778779028924</c:v>
                </c:pt>
                <c:pt idx="48">
                  <c:v>449.5778779028924</c:v>
                </c:pt>
                <c:pt idx="49">
                  <c:v>449.5778779028924</c:v>
                </c:pt>
                <c:pt idx="50">
                  <c:v>449.5778779028924</c:v>
                </c:pt>
                <c:pt idx="51">
                  <c:v>449.5778779028924</c:v>
                </c:pt>
                <c:pt idx="52">
                  <c:v>449.5778779028924</c:v>
                </c:pt>
                <c:pt idx="53">
                  <c:v>449.5778779028924</c:v>
                </c:pt>
                <c:pt idx="54">
                  <c:v>449.5778779028924</c:v>
                </c:pt>
                <c:pt idx="55">
                  <c:v>449.5778779028924</c:v>
                </c:pt>
                <c:pt idx="56">
                  <c:v>449.5778779028924</c:v>
                </c:pt>
                <c:pt idx="57">
                  <c:v>449.5778779028924</c:v>
                </c:pt>
                <c:pt idx="58">
                  <c:v>449.5778779028924</c:v>
                </c:pt>
                <c:pt idx="59">
                  <c:v>449.5778779028924</c:v>
                </c:pt>
                <c:pt idx="60">
                  <c:v>449.5778779028924</c:v>
                </c:pt>
                <c:pt idx="61">
                  <c:v>449.5778779028924</c:v>
                </c:pt>
                <c:pt idx="62">
                  <c:v>449.5778779028924</c:v>
                </c:pt>
                <c:pt idx="63">
                  <c:v>449.5778779028924</c:v>
                </c:pt>
                <c:pt idx="64">
                  <c:v>449.5778779028924</c:v>
                </c:pt>
                <c:pt idx="65">
                  <c:v>449.5778779028924</c:v>
                </c:pt>
                <c:pt idx="66">
                  <c:v>449.5778779028924</c:v>
                </c:pt>
                <c:pt idx="67">
                  <c:v>449.5778779028924</c:v>
                </c:pt>
                <c:pt idx="68">
                  <c:v>449.5778779028924</c:v>
                </c:pt>
                <c:pt idx="69">
                  <c:v>449.5778779028924</c:v>
                </c:pt>
                <c:pt idx="70">
                  <c:v>449.5778779028924</c:v>
                </c:pt>
                <c:pt idx="71">
                  <c:v>449.5778779028924</c:v>
                </c:pt>
                <c:pt idx="72">
                  <c:v>449.5778779028924</c:v>
                </c:pt>
                <c:pt idx="73">
                  <c:v>449.5778779028924</c:v>
                </c:pt>
                <c:pt idx="74">
                  <c:v>449.5778779028924</c:v>
                </c:pt>
                <c:pt idx="75">
                  <c:v>449.5778779028924</c:v>
                </c:pt>
                <c:pt idx="76">
                  <c:v>449.5778779028924</c:v>
                </c:pt>
                <c:pt idx="77">
                  <c:v>449.5778779028924</c:v>
                </c:pt>
                <c:pt idx="78">
                  <c:v>449.5778779028924</c:v>
                </c:pt>
                <c:pt idx="79">
                  <c:v>449.5778779028924</c:v>
                </c:pt>
                <c:pt idx="80">
                  <c:v>449.5778779028924</c:v>
                </c:pt>
                <c:pt idx="81">
                  <c:v>449.5778779028924</c:v>
                </c:pt>
                <c:pt idx="82">
                  <c:v>449.5778779028924</c:v>
                </c:pt>
                <c:pt idx="83">
                  <c:v>449.5778779028924</c:v>
                </c:pt>
                <c:pt idx="84">
                  <c:v>449.5778779028924</c:v>
                </c:pt>
                <c:pt idx="85">
                  <c:v>449.5778779028924</c:v>
                </c:pt>
                <c:pt idx="86">
                  <c:v>449.5778779028924</c:v>
                </c:pt>
                <c:pt idx="87">
                  <c:v>449.5778779028924</c:v>
                </c:pt>
                <c:pt idx="88">
                  <c:v>449.5778779028924</c:v>
                </c:pt>
                <c:pt idx="89">
                  <c:v>449.5778779028924</c:v>
                </c:pt>
                <c:pt idx="90">
                  <c:v>449.5778779028924</c:v>
                </c:pt>
                <c:pt idx="91">
                  <c:v>449.5778779028924</c:v>
                </c:pt>
                <c:pt idx="92">
                  <c:v>449.5778779028924</c:v>
                </c:pt>
                <c:pt idx="93">
                  <c:v>449.5778779028924</c:v>
                </c:pt>
                <c:pt idx="94">
                  <c:v>449.5778779028924</c:v>
                </c:pt>
                <c:pt idx="95">
                  <c:v>449.5778779028924</c:v>
                </c:pt>
                <c:pt idx="96">
                  <c:v>449.5778779028924</c:v>
                </c:pt>
                <c:pt idx="97">
                  <c:v>449.5778779028924</c:v>
                </c:pt>
                <c:pt idx="98">
                  <c:v>449.5778779028924</c:v>
                </c:pt>
                <c:pt idx="99">
                  <c:v>449.5778779028924</c:v>
                </c:pt>
                <c:pt idx="100">
                  <c:v>449.5778779028924</c:v>
                </c:pt>
                <c:pt idx="101">
                  <c:v>449.5778779028924</c:v>
                </c:pt>
                <c:pt idx="102">
                  <c:v>449.5778779028924</c:v>
                </c:pt>
                <c:pt idx="103">
                  <c:v>449.5778779028924</c:v>
                </c:pt>
                <c:pt idx="104">
                  <c:v>449.5778779028924</c:v>
                </c:pt>
                <c:pt idx="105">
                  <c:v>449.5778779028924</c:v>
                </c:pt>
                <c:pt idx="106">
                  <c:v>449.5778779028924</c:v>
                </c:pt>
                <c:pt idx="107">
                  <c:v>449.5778779028924</c:v>
                </c:pt>
                <c:pt idx="108">
                  <c:v>449.5778779028924</c:v>
                </c:pt>
                <c:pt idx="109">
                  <c:v>449.5778779028924</c:v>
                </c:pt>
                <c:pt idx="110">
                  <c:v>449.5778779028924</c:v>
                </c:pt>
                <c:pt idx="111">
                  <c:v>449.5778779028924</c:v>
                </c:pt>
                <c:pt idx="112">
                  <c:v>449.5778779028924</c:v>
                </c:pt>
                <c:pt idx="113">
                  <c:v>449.5778779028924</c:v>
                </c:pt>
                <c:pt idx="114">
                  <c:v>449.5778779028924</c:v>
                </c:pt>
                <c:pt idx="115">
                  <c:v>449.5778779028924</c:v>
                </c:pt>
                <c:pt idx="116">
                  <c:v>449.5778779028924</c:v>
                </c:pt>
                <c:pt idx="117">
                  <c:v>449.5778779028924</c:v>
                </c:pt>
                <c:pt idx="118">
                  <c:v>449.5778779028924</c:v>
                </c:pt>
                <c:pt idx="119">
                  <c:v>449.5778779028924</c:v>
                </c:pt>
                <c:pt idx="120">
                  <c:v>449.5778779028924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60B-424D-BD86-AE45D72A4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4199487"/>
        <c:axId val="1044202367"/>
      </c:lineChart>
      <c:catAx>
        <c:axId val="1044199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Project #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44202367"/>
        <c:crosses val="autoZero"/>
        <c:auto val="1"/>
        <c:lblAlgn val="ctr"/>
        <c:lblOffset val="100"/>
        <c:noMultiLvlLbl val="0"/>
      </c:catAx>
      <c:valAx>
        <c:axId val="10442023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$/kW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044199487"/>
        <c:crosses val="autoZero"/>
        <c:crossBetween val="between"/>
      </c:valAx>
    </c:plotArea>
    <c:legend>
      <c:legendPos val="r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ERIS + NRIS + Interconnection</a:t>
            </a:r>
            <a:r>
              <a:rPr lang="en-US" baseline="0"/>
              <a:t> Facility Cost</a:t>
            </a:r>
            <a:r>
              <a:rPr lang="en-US"/>
              <a:t> $/kW — AR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State_AR!$K$1</c:f>
              <c:strCache>
                <c:ptCount val="1"/>
                <c:pt idx="0">
                  <c:v>ERIS $/kW</c:v>
                </c:pt>
              </c:strCache>
            </c:strRef>
          </c:tx>
          <c:invertIfNegative val="0"/>
          <c:cat>
            <c:strRef>
              <c:f>State_AR!$B$2:$B$56</c:f>
              <c:strCache>
                <c:ptCount val="55"/>
                <c:pt idx="0">
                  <c:v>J3081</c:v>
                </c:pt>
                <c:pt idx="1">
                  <c:v>J3109</c:v>
                </c:pt>
                <c:pt idx="2">
                  <c:v>J2773</c:v>
                </c:pt>
                <c:pt idx="3">
                  <c:v>J2865</c:v>
                </c:pt>
                <c:pt idx="4">
                  <c:v>J2955</c:v>
                </c:pt>
                <c:pt idx="5">
                  <c:v>J2864</c:v>
                </c:pt>
                <c:pt idx="6">
                  <c:v>J2866</c:v>
                </c:pt>
                <c:pt idx="7">
                  <c:v>J2924</c:v>
                </c:pt>
                <c:pt idx="8">
                  <c:v>J3112</c:v>
                </c:pt>
                <c:pt idx="9">
                  <c:v>J2456</c:v>
                </c:pt>
                <c:pt idx="10">
                  <c:v>J2613</c:v>
                </c:pt>
                <c:pt idx="11">
                  <c:v>J2841</c:v>
                </c:pt>
                <c:pt idx="12">
                  <c:v>J2634</c:v>
                </c:pt>
                <c:pt idx="13">
                  <c:v>J2577</c:v>
                </c:pt>
                <c:pt idx="14">
                  <c:v>J2880</c:v>
                </c:pt>
                <c:pt idx="15">
                  <c:v>J3192</c:v>
                </c:pt>
                <c:pt idx="16">
                  <c:v>J3040</c:v>
                </c:pt>
                <c:pt idx="17">
                  <c:v>J2907</c:v>
                </c:pt>
                <c:pt idx="18">
                  <c:v>J3120</c:v>
                </c:pt>
                <c:pt idx="19">
                  <c:v>J3090</c:v>
                </c:pt>
                <c:pt idx="20">
                  <c:v>J2881</c:v>
                </c:pt>
                <c:pt idx="21">
                  <c:v>J2734</c:v>
                </c:pt>
                <c:pt idx="22">
                  <c:v>J3141</c:v>
                </c:pt>
                <c:pt idx="23">
                  <c:v>J3111</c:v>
                </c:pt>
                <c:pt idx="24">
                  <c:v>J2801</c:v>
                </c:pt>
                <c:pt idx="25">
                  <c:v>J2764</c:v>
                </c:pt>
                <c:pt idx="26">
                  <c:v>J2397</c:v>
                </c:pt>
                <c:pt idx="27">
                  <c:v>J2639</c:v>
                </c:pt>
                <c:pt idx="28">
                  <c:v>J2818</c:v>
                </c:pt>
                <c:pt idx="29">
                  <c:v>J2985</c:v>
                </c:pt>
                <c:pt idx="30">
                  <c:v>J3058</c:v>
                </c:pt>
                <c:pt idx="31">
                  <c:v>J3230</c:v>
                </c:pt>
                <c:pt idx="32">
                  <c:v>J3131</c:v>
                </c:pt>
                <c:pt idx="33">
                  <c:v>J2396</c:v>
                </c:pt>
                <c:pt idx="34">
                  <c:v>J2986</c:v>
                </c:pt>
                <c:pt idx="35">
                  <c:v>J2395</c:v>
                </c:pt>
                <c:pt idx="36">
                  <c:v>J2983</c:v>
                </c:pt>
                <c:pt idx="37">
                  <c:v>J2901</c:v>
                </c:pt>
                <c:pt idx="38">
                  <c:v>J2759</c:v>
                </c:pt>
                <c:pt idx="39">
                  <c:v>J3035</c:v>
                </c:pt>
                <c:pt idx="40">
                  <c:v>J2954</c:v>
                </c:pt>
                <c:pt idx="41">
                  <c:v>J2482</c:v>
                </c:pt>
                <c:pt idx="42">
                  <c:v>J2351</c:v>
                </c:pt>
                <c:pt idx="43">
                  <c:v>J2350</c:v>
                </c:pt>
                <c:pt idx="44">
                  <c:v>J3122</c:v>
                </c:pt>
                <c:pt idx="45">
                  <c:v>J2750</c:v>
                </c:pt>
                <c:pt idx="46">
                  <c:v>J2696</c:v>
                </c:pt>
                <c:pt idx="47">
                  <c:v>J2742</c:v>
                </c:pt>
                <c:pt idx="48">
                  <c:v>J2477</c:v>
                </c:pt>
                <c:pt idx="49">
                  <c:v>J2523</c:v>
                </c:pt>
                <c:pt idx="50">
                  <c:v>J3030</c:v>
                </c:pt>
                <c:pt idx="51">
                  <c:v>J2437</c:v>
                </c:pt>
                <c:pt idx="52">
                  <c:v>J2478</c:v>
                </c:pt>
                <c:pt idx="53">
                  <c:v>J2871</c:v>
                </c:pt>
                <c:pt idx="54">
                  <c:v>J2641</c:v>
                </c:pt>
              </c:strCache>
            </c:strRef>
          </c:cat>
          <c:val>
            <c:numRef>
              <c:f>State_AR!$K$2:$K$56</c:f>
              <c:numCache>
                <c:formatCode>#,##0</c:formatCode>
                <c:ptCount val="55"/>
                <c:pt idx="0">
                  <c:v>290.13261070548731</c:v>
                </c:pt>
                <c:pt idx="1">
                  <c:v>930.87912525921502</c:v>
                </c:pt>
                <c:pt idx="2">
                  <c:v>34.841535711442297</c:v>
                </c:pt>
                <c:pt idx="3">
                  <c:v>414.76511327829252</c:v>
                </c:pt>
                <c:pt idx="4">
                  <c:v>288.58088958444239</c:v>
                </c:pt>
                <c:pt idx="5">
                  <c:v>299.91491139472168</c:v>
                </c:pt>
                <c:pt idx="6">
                  <c:v>300.32684515686219</c:v>
                </c:pt>
                <c:pt idx="7">
                  <c:v>372.9251389877013</c:v>
                </c:pt>
                <c:pt idx="8">
                  <c:v>66.362503587135961</c:v>
                </c:pt>
                <c:pt idx="9">
                  <c:v>106.9871105250273</c:v>
                </c:pt>
                <c:pt idx="10">
                  <c:v>83.861465535539608</c:v>
                </c:pt>
                <c:pt idx="11">
                  <c:v>133.47240132230411</c:v>
                </c:pt>
                <c:pt idx="12">
                  <c:v>439.20536737009792</c:v>
                </c:pt>
                <c:pt idx="13">
                  <c:v>175.76912786843201</c:v>
                </c:pt>
                <c:pt idx="14">
                  <c:v>229.20609136778421</c:v>
                </c:pt>
                <c:pt idx="15">
                  <c:v>99.759912926721356</c:v>
                </c:pt>
                <c:pt idx="16">
                  <c:v>328.15619335604231</c:v>
                </c:pt>
                <c:pt idx="17">
                  <c:v>84.957929758802493</c:v>
                </c:pt>
                <c:pt idx="18">
                  <c:v>123.5586329982313</c:v>
                </c:pt>
                <c:pt idx="19">
                  <c:v>99.560798260258451</c:v>
                </c:pt>
                <c:pt idx="20">
                  <c:v>45.417408307436233</c:v>
                </c:pt>
                <c:pt idx="21">
                  <c:v>228.3372583703908</c:v>
                </c:pt>
                <c:pt idx="22">
                  <c:v>53.892256561971458</c:v>
                </c:pt>
                <c:pt idx="23">
                  <c:v>25.318359509536808</c:v>
                </c:pt>
                <c:pt idx="24">
                  <c:v>401.90801997881709</c:v>
                </c:pt>
                <c:pt idx="25">
                  <c:v>50.072522295518077</c:v>
                </c:pt>
                <c:pt idx="26">
                  <c:v>285.01492053577857</c:v>
                </c:pt>
                <c:pt idx="27">
                  <c:v>29.747745189921929</c:v>
                </c:pt>
                <c:pt idx="28">
                  <c:v>377.7571421169161</c:v>
                </c:pt>
                <c:pt idx="29">
                  <c:v>375.39311079439159</c:v>
                </c:pt>
                <c:pt idx="30">
                  <c:v>144.63160654641919</c:v>
                </c:pt>
                <c:pt idx="31">
                  <c:v>339.8890844436271</c:v>
                </c:pt>
                <c:pt idx="32">
                  <c:v>334.46734120979329</c:v>
                </c:pt>
                <c:pt idx="33">
                  <c:v>329.98036344181901</c:v>
                </c:pt>
                <c:pt idx="34">
                  <c:v>191.63424291155329</c:v>
                </c:pt>
                <c:pt idx="35">
                  <c:v>330.24221695811792</c:v>
                </c:pt>
                <c:pt idx="36">
                  <c:v>240.93455041776889</c:v>
                </c:pt>
                <c:pt idx="37">
                  <c:v>221.87755372167811</c:v>
                </c:pt>
                <c:pt idx="38">
                  <c:v>179.9176828962257</c:v>
                </c:pt>
                <c:pt idx="39">
                  <c:v>48.274615323923577</c:v>
                </c:pt>
                <c:pt idx="40">
                  <c:v>0</c:v>
                </c:pt>
                <c:pt idx="41">
                  <c:v>161.73222859282151</c:v>
                </c:pt>
                <c:pt idx="42">
                  <c:v>0</c:v>
                </c:pt>
                <c:pt idx="43">
                  <c:v>131.72510725790491</c:v>
                </c:pt>
                <c:pt idx="44">
                  <c:v>241.10455679028021</c:v>
                </c:pt>
                <c:pt idx="45">
                  <c:v>82.988199781305013</c:v>
                </c:pt>
                <c:pt idx="46">
                  <c:v>1.264212370688621</c:v>
                </c:pt>
                <c:pt idx="47">
                  <c:v>254.53847578316521</c:v>
                </c:pt>
                <c:pt idx="48">
                  <c:v>164.9047547120679</c:v>
                </c:pt>
                <c:pt idx="49">
                  <c:v>126.5480481931131</c:v>
                </c:pt>
                <c:pt idx="50">
                  <c:v>76.935955056734201</c:v>
                </c:pt>
                <c:pt idx="51">
                  <c:v>8.5043871906757698</c:v>
                </c:pt>
                <c:pt idx="52">
                  <c:v>65.236863540280623</c:v>
                </c:pt>
                <c:pt idx="53">
                  <c:v>0</c:v>
                </c:pt>
                <c:pt idx="54">
                  <c:v>10.475976768126859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75-47A7-BEE0-7A22D02C224D}"/>
            </c:ext>
          </c:extLst>
        </c:ser>
        <c:ser>
          <c:idx val="1"/>
          <c:order val="1"/>
          <c:tx>
            <c:strRef>
              <c:f>State_AR!$M$1</c:f>
              <c:strCache>
                <c:ptCount val="1"/>
                <c:pt idx="0">
                  <c:v>NRIS $/kW</c:v>
                </c:pt>
              </c:strCache>
            </c:strRef>
          </c:tx>
          <c:invertIfNegative val="0"/>
          <c:val>
            <c:numRef>
              <c:f>State_AR!$M$2:$M$56</c:f>
              <c:numCache>
                <c:formatCode>#,##0</c:formatCode>
                <c:ptCount val="55"/>
                <c:pt idx="0">
                  <c:v>1655.0190476190469</c:v>
                </c:pt>
                <c:pt idx="1">
                  <c:v>616.88333333333287</c:v>
                </c:pt>
                <c:pt idx="2">
                  <c:v>914.70000000000039</c:v>
                </c:pt>
                <c:pt idx="3">
                  <c:v>590.2986666666668</c:v>
                </c:pt>
                <c:pt idx="4">
                  <c:v>629.1933333333335</c:v>
                </c:pt>
                <c:pt idx="5">
                  <c:v>626.13333333333333</c:v>
                </c:pt>
                <c:pt idx="6">
                  <c:v>625.57866666666689</c:v>
                </c:pt>
                <c:pt idx="7">
                  <c:v>503.55405405405418</c:v>
                </c:pt>
                <c:pt idx="8">
                  <c:v>781.1</c:v>
                </c:pt>
                <c:pt idx="9">
                  <c:v>728.81999999999994</c:v>
                </c:pt>
                <c:pt idx="10">
                  <c:v>743.7600000000001</c:v>
                </c:pt>
                <c:pt idx="11">
                  <c:v>743.77600000000007</c:v>
                </c:pt>
                <c:pt idx="12">
                  <c:v>351.64461247637053</c:v>
                </c:pt>
                <c:pt idx="13">
                  <c:v>739.61999999999989</c:v>
                </c:pt>
                <c:pt idx="14">
                  <c:v>534.0333333333333</c:v>
                </c:pt>
                <c:pt idx="15">
                  <c:v>812.41200000000003</c:v>
                </c:pt>
                <c:pt idx="16">
                  <c:v>469.01369863013679</c:v>
                </c:pt>
                <c:pt idx="17">
                  <c:v>722.20500000000004</c:v>
                </c:pt>
                <c:pt idx="18">
                  <c:v>573.70999999999981</c:v>
                </c:pt>
                <c:pt idx="19">
                  <c:v>638.5200000000001</c:v>
                </c:pt>
                <c:pt idx="20">
                  <c:v>559.31999999999994</c:v>
                </c:pt>
                <c:pt idx="21">
                  <c:v>338.39999999999992</c:v>
                </c:pt>
                <c:pt idx="22">
                  <c:v>530.02999999999986</c:v>
                </c:pt>
                <c:pt idx="23">
                  <c:v>438.2000000000001</c:v>
                </c:pt>
                <c:pt idx="24">
                  <c:v>0</c:v>
                </c:pt>
                <c:pt idx="25">
                  <c:v>387.69333333333333</c:v>
                </c:pt>
                <c:pt idx="26">
                  <c:v>0</c:v>
                </c:pt>
                <c:pt idx="27">
                  <c:v>343.45935727788282</c:v>
                </c:pt>
                <c:pt idx="28">
                  <c:v>0</c:v>
                </c:pt>
                <c:pt idx="29">
                  <c:v>0</c:v>
                </c:pt>
                <c:pt idx="30">
                  <c:v>250.23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165.09</c:v>
                </c:pt>
                <c:pt idx="41">
                  <c:v>0</c:v>
                </c:pt>
                <c:pt idx="42">
                  <c:v>190.655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260.47800000000001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75-47A7-BEE0-7A22D02C224D}"/>
            </c:ext>
          </c:extLst>
        </c:ser>
        <c:ser>
          <c:idx val="2"/>
          <c:order val="2"/>
          <c:tx>
            <c:strRef>
              <c:f>State_AR!$O$1</c:f>
              <c:strCache>
                <c:ptCount val="1"/>
                <c:pt idx="0">
                  <c:v>Interconnection Facility Cost $/kW</c:v>
                </c:pt>
              </c:strCache>
            </c:strRef>
          </c:tx>
          <c:invertIfNegative val="0"/>
          <c:val>
            <c:numRef>
              <c:f>State_AR!$O$2:$O$56</c:f>
              <c:numCache>
                <c:formatCode>"$"#,##0.00_);[Red]\("$"#,##0.00\)</c:formatCode>
                <c:ptCount val="55"/>
                <c:pt idx="0">
                  <c:v>215.23809523809527</c:v>
                </c:pt>
                <c:pt idx="1">
                  <c:v>190.54166666666666</c:v>
                </c:pt>
                <c:pt idx="2">
                  <c:v>309.20000000000005</c:v>
                </c:pt>
                <c:pt idx="3">
                  <c:v>107.38666666666667</c:v>
                </c:pt>
                <c:pt idx="4">
                  <c:v>150.13333333333335</c:v>
                </c:pt>
                <c:pt idx="5">
                  <c:v>132.32</c:v>
                </c:pt>
                <c:pt idx="6">
                  <c:v>132.32</c:v>
                </c:pt>
                <c:pt idx="7">
                  <c:v>177.16216216216216</c:v>
                </c:pt>
                <c:pt idx="8">
                  <c:v>171.11</c:v>
                </c:pt>
                <c:pt idx="9">
                  <c:v>179.8</c:v>
                </c:pt>
                <c:pt idx="10">
                  <c:v>187.03333333333333</c:v>
                </c:pt>
                <c:pt idx="11">
                  <c:v>112.22</c:v>
                </c:pt>
                <c:pt idx="12">
                  <c:v>174.83931947069945</c:v>
                </c:pt>
                <c:pt idx="13">
                  <c:v>34.479999999999997</c:v>
                </c:pt>
                <c:pt idx="14">
                  <c:v>166.26666666666668</c:v>
                </c:pt>
                <c:pt idx="15">
                  <c:v>9.02</c:v>
                </c:pt>
                <c:pt idx="16">
                  <c:v>110.32876712328768</c:v>
                </c:pt>
                <c:pt idx="17">
                  <c:v>29.525000000000002</c:v>
                </c:pt>
                <c:pt idx="18">
                  <c:v>113.6</c:v>
                </c:pt>
                <c:pt idx="19">
                  <c:v>42.800000000000004</c:v>
                </c:pt>
                <c:pt idx="20">
                  <c:v>149.04</c:v>
                </c:pt>
                <c:pt idx="21">
                  <c:v>183.75333333333333</c:v>
                </c:pt>
                <c:pt idx="22">
                  <c:v>74.5</c:v>
                </c:pt>
                <c:pt idx="23">
                  <c:v>189.4</c:v>
                </c:pt>
                <c:pt idx="24">
                  <c:v>197.08461538461538</c:v>
                </c:pt>
                <c:pt idx="25">
                  <c:v>148.33333333333334</c:v>
                </c:pt>
                <c:pt idx="26">
                  <c:v>294.4375</c:v>
                </c:pt>
                <c:pt idx="27">
                  <c:v>188.62003780718337</c:v>
                </c:pt>
                <c:pt idx="28">
                  <c:v>179.15384615384613</c:v>
                </c:pt>
                <c:pt idx="29">
                  <c:v>129.67407407407407</c:v>
                </c:pt>
                <c:pt idx="30">
                  <c:v>87.15</c:v>
                </c:pt>
                <c:pt idx="31">
                  <c:v>130.61000000000001</c:v>
                </c:pt>
                <c:pt idx="32">
                  <c:v>128.26666666666668</c:v>
                </c:pt>
                <c:pt idx="33">
                  <c:v>117.77500000000001</c:v>
                </c:pt>
                <c:pt idx="34">
                  <c:v>254.125</c:v>
                </c:pt>
                <c:pt idx="35">
                  <c:v>94.22</c:v>
                </c:pt>
                <c:pt idx="36">
                  <c:v>178.69285714285712</c:v>
                </c:pt>
                <c:pt idx="37">
                  <c:v>147</c:v>
                </c:pt>
                <c:pt idx="38">
                  <c:v>159.82352941176472</c:v>
                </c:pt>
                <c:pt idx="39">
                  <c:v>284.10000000000002</c:v>
                </c:pt>
                <c:pt idx="40">
                  <c:v>165.6</c:v>
                </c:pt>
                <c:pt idx="41">
                  <c:v>154.4</c:v>
                </c:pt>
                <c:pt idx="42">
                  <c:v>113.9</c:v>
                </c:pt>
                <c:pt idx="43">
                  <c:v>164.06926406926405</c:v>
                </c:pt>
                <c:pt idx="44">
                  <c:v>31.95</c:v>
                </c:pt>
                <c:pt idx="45">
                  <c:v>185.46835443037975</c:v>
                </c:pt>
                <c:pt idx="46">
                  <c:v>1.18</c:v>
                </c:pt>
                <c:pt idx="47">
                  <c:v>5.1000000000000005</c:v>
                </c:pt>
                <c:pt idx="48">
                  <c:v>77.2</c:v>
                </c:pt>
                <c:pt idx="49">
                  <c:v>74.44</c:v>
                </c:pt>
                <c:pt idx="50">
                  <c:v>78.888888888888886</c:v>
                </c:pt>
                <c:pt idx="51">
                  <c:v>141.82857142857145</c:v>
                </c:pt>
                <c:pt idx="52">
                  <c:v>81.581818181818178</c:v>
                </c:pt>
                <c:pt idx="53">
                  <c:v>47.114285714285714</c:v>
                </c:pt>
                <c:pt idx="54">
                  <c:v>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75-47A7-BEE0-7A22D02C2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0476160"/>
        <c:axId val="980476640"/>
      </c:barChart>
      <c:lineChart>
        <c:grouping val="stacked"/>
        <c:varyColors val="0"/>
        <c:ser>
          <c:idx val="3"/>
          <c:order val="3"/>
          <c:tx>
            <c:v>Average</c:v>
          </c:tx>
          <c:marker>
            <c:symbol val="none"/>
          </c:marker>
          <c:val>
            <c:numRef>
              <c:f>State_AR!$U$2:$U$56</c:f>
              <c:numCache>
                <c:formatCode>General</c:formatCode>
                <c:ptCount val="55"/>
                <c:pt idx="0">
                  <c:v>642.07140416841071</c:v>
                </c:pt>
                <c:pt idx="1">
                  <c:v>642.07140416841071</c:v>
                </c:pt>
                <c:pt idx="2">
                  <c:v>642.07140416841071</c:v>
                </c:pt>
                <c:pt idx="3">
                  <c:v>642.07140416841071</c:v>
                </c:pt>
                <c:pt idx="4">
                  <c:v>642.07140416841071</c:v>
                </c:pt>
                <c:pt idx="5">
                  <c:v>642.07140416841071</c:v>
                </c:pt>
                <c:pt idx="6">
                  <c:v>642.07140416841071</c:v>
                </c:pt>
                <c:pt idx="7">
                  <c:v>642.07140416841071</c:v>
                </c:pt>
                <c:pt idx="8">
                  <c:v>642.07140416841071</c:v>
                </c:pt>
                <c:pt idx="9">
                  <c:v>642.07140416841071</c:v>
                </c:pt>
                <c:pt idx="10">
                  <c:v>642.07140416841071</c:v>
                </c:pt>
                <c:pt idx="11">
                  <c:v>642.07140416841071</c:v>
                </c:pt>
                <c:pt idx="12">
                  <c:v>642.07140416841071</c:v>
                </c:pt>
                <c:pt idx="13">
                  <c:v>642.07140416841071</c:v>
                </c:pt>
                <c:pt idx="14">
                  <c:v>642.07140416841071</c:v>
                </c:pt>
                <c:pt idx="15">
                  <c:v>642.07140416841071</c:v>
                </c:pt>
                <c:pt idx="16">
                  <c:v>642.07140416841071</c:v>
                </c:pt>
                <c:pt idx="17">
                  <c:v>642.07140416841071</c:v>
                </c:pt>
                <c:pt idx="18">
                  <c:v>642.07140416841071</c:v>
                </c:pt>
                <c:pt idx="19">
                  <c:v>642.07140416841071</c:v>
                </c:pt>
                <c:pt idx="20">
                  <c:v>642.07140416841071</c:v>
                </c:pt>
                <c:pt idx="21">
                  <c:v>642.07140416841071</c:v>
                </c:pt>
                <c:pt idx="22">
                  <c:v>642.07140416841071</c:v>
                </c:pt>
                <c:pt idx="23">
                  <c:v>642.07140416841071</c:v>
                </c:pt>
                <c:pt idx="24">
                  <c:v>642.07140416841071</c:v>
                </c:pt>
                <c:pt idx="25">
                  <c:v>642.07140416841071</c:v>
                </c:pt>
                <c:pt idx="26">
                  <c:v>642.07140416841071</c:v>
                </c:pt>
                <c:pt idx="27">
                  <c:v>642.07140416841071</c:v>
                </c:pt>
                <c:pt idx="28">
                  <c:v>642.07140416841071</c:v>
                </c:pt>
                <c:pt idx="29">
                  <c:v>642.07140416841071</c:v>
                </c:pt>
                <c:pt idx="30">
                  <c:v>642.07140416841071</c:v>
                </c:pt>
                <c:pt idx="31">
                  <c:v>642.07140416841071</c:v>
                </c:pt>
                <c:pt idx="32">
                  <c:v>642.07140416841071</c:v>
                </c:pt>
                <c:pt idx="33">
                  <c:v>642.07140416841071</c:v>
                </c:pt>
                <c:pt idx="34">
                  <c:v>642.07140416841071</c:v>
                </c:pt>
                <c:pt idx="35">
                  <c:v>642.07140416841071</c:v>
                </c:pt>
                <c:pt idx="36">
                  <c:v>642.07140416841071</c:v>
                </c:pt>
                <c:pt idx="37">
                  <c:v>642.07140416841071</c:v>
                </c:pt>
                <c:pt idx="38">
                  <c:v>642.07140416841071</c:v>
                </c:pt>
                <c:pt idx="39">
                  <c:v>642.07140416841071</c:v>
                </c:pt>
                <c:pt idx="40">
                  <c:v>642.07140416841071</c:v>
                </c:pt>
                <c:pt idx="41">
                  <c:v>642.07140416841071</c:v>
                </c:pt>
                <c:pt idx="42">
                  <c:v>642.07140416841071</c:v>
                </c:pt>
                <c:pt idx="43">
                  <c:v>642.07140416841071</c:v>
                </c:pt>
                <c:pt idx="44">
                  <c:v>642.07140416841071</c:v>
                </c:pt>
                <c:pt idx="45">
                  <c:v>642.07140416841071</c:v>
                </c:pt>
                <c:pt idx="46">
                  <c:v>642.07140416841071</c:v>
                </c:pt>
                <c:pt idx="47">
                  <c:v>642.07140416841071</c:v>
                </c:pt>
                <c:pt idx="48">
                  <c:v>642.07140416841071</c:v>
                </c:pt>
                <c:pt idx="49">
                  <c:v>642.07140416841071</c:v>
                </c:pt>
                <c:pt idx="50">
                  <c:v>642.07140416841071</c:v>
                </c:pt>
                <c:pt idx="51">
                  <c:v>642.07140416841071</c:v>
                </c:pt>
                <c:pt idx="52">
                  <c:v>642.07140416841071</c:v>
                </c:pt>
                <c:pt idx="53">
                  <c:v>642.07140416841071</c:v>
                </c:pt>
                <c:pt idx="54">
                  <c:v>642.07140416841071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6A-4AB1-8532-32CB2CCDD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0476160"/>
        <c:axId val="980476640"/>
      </c:lineChart>
      <c:catAx>
        <c:axId val="980476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Project #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80476640"/>
        <c:crosses val="autoZero"/>
        <c:auto val="1"/>
        <c:lblAlgn val="ctr"/>
        <c:lblOffset val="100"/>
        <c:noMultiLvlLbl val="0"/>
      </c:catAx>
      <c:valAx>
        <c:axId val="9804766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$/kW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980476160"/>
        <c:crosses val="autoZero"/>
        <c:crossBetween val="between"/>
      </c:valAx>
    </c:plotArea>
    <c:legend>
      <c:legendPos val="r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ERIS + NRIS +</a:t>
            </a:r>
            <a:r>
              <a:rPr lang="en-US" baseline="0"/>
              <a:t> Interconnection Facility Upgrade </a:t>
            </a:r>
            <a:r>
              <a:rPr lang="en-US"/>
              <a:t>$/kW — LA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8800399027612325E-2"/>
          <c:y val="9.7950131233595805E-2"/>
          <c:w val="0.85045893986498922"/>
          <c:h val="0.803701662292213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State_LA!$K$1</c:f>
              <c:strCache>
                <c:ptCount val="1"/>
                <c:pt idx="0">
                  <c:v>ERIS $/kW</c:v>
                </c:pt>
              </c:strCache>
            </c:strRef>
          </c:tx>
          <c:invertIfNegative val="0"/>
          <c:cat>
            <c:strRef>
              <c:f>State_LA!$B$2:$B$36</c:f>
              <c:strCache>
                <c:ptCount val="35"/>
                <c:pt idx="0">
                  <c:v>J2914</c:v>
                </c:pt>
                <c:pt idx="1">
                  <c:v>J2737</c:v>
                </c:pt>
                <c:pt idx="2">
                  <c:v>J3118</c:v>
                </c:pt>
                <c:pt idx="3">
                  <c:v>J2956</c:v>
                </c:pt>
                <c:pt idx="4">
                  <c:v>J3082</c:v>
                </c:pt>
                <c:pt idx="5">
                  <c:v>J2526</c:v>
                </c:pt>
                <c:pt idx="6">
                  <c:v>J2708</c:v>
                </c:pt>
                <c:pt idx="7">
                  <c:v>J2704</c:v>
                </c:pt>
                <c:pt idx="8">
                  <c:v>J2917</c:v>
                </c:pt>
                <c:pt idx="9">
                  <c:v>J2729</c:v>
                </c:pt>
                <c:pt idx="10">
                  <c:v>J2816</c:v>
                </c:pt>
                <c:pt idx="11">
                  <c:v>J2965</c:v>
                </c:pt>
                <c:pt idx="12">
                  <c:v>J2404</c:v>
                </c:pt>
                <c:pt idx="13">
                  <c:v>J2714</c:v>
                </c:pt>
                <c:pt idx="14">
                  <c:v>J2519</c:v>
                </c:pt>
                <c:pt idx="15">
                  <c:v>J2920</c:v>
                </c:pt>
                <c:pt idx="16">
                  <c:v>J3128</c:v>
                </c:pt>
                <c:pt idx="17">
                  <c:v>J3170</c:v>
                </c:pt>
                <c:pt idx="18">
                  <c:v>J2693</c:v>
                </c:pt>
                <c:pt idx="19">
                  <c:v>J3014</c:v>
                </c:pt>
                <c:pt idx="20">
                  <c:v>J2819</c:v>
                </c:pt>
                <c:pt idx="21">
                  <c:v>J2457</c:v>
                </c:pt>
                <c:pt idx="22">
                  <c:v>J2791</c:v>
                </c:pt>
                <c:pt idx="23">
                  <c:v>J2753</c:v>
                </c:pt>
                <c:pt idx="24">
                  <c:v>J2838</c:v>
                </c:pt>
                <c:pt idx="25">
                  <c:v>J2643</c:v>
                </c:pt>
                <c:pt idx="26">
                  <c:v>J2371</c:v>
                </c:pt>
                <c:pt idx="27">
                  <c:v>J3209</c:v>
                </c:pt>
                <c:pt idx="28">
                  <c:v>J2651</c:v>
                </c:pt>
                <c:pt idx="29">
                  <c:v>J2322</c:v>
                </c:pt>
                <c:pt idx="30">
                  <c:v>J2715</c:v>
                </c:pt>
                <c:pt idx="31">
                  <c:v>J3042</c:v>
                </c:pt>
                <c:pt idx="32">
                  <c:v>J2899</c:v>
                </c:pt>
                <c:pt idx="33">
                  <c:v>J2967</c:v>
                </c:pt>
                <c:pt idx="34">
                  <c:v>J2701</c:v>
                </c:pt>
              </c:strCache>
            </c:strRef>
          </c:cat>
          <c:val>
            <c:numRef>
              <c:f>State_LA!$K$2:$K$36</c:f>
              <c:numCache>
                <c:formatCode>#,##0</c:formatCode>
                <c:ptCount val="35"/>
                <c:pt idx="0">
                  <c:v>2459.6909430929481</c:v>
                </c:pt>
                <c:pt idx="1">
                  <c:v>716.9701243870544</c:v>
                </c:pt>
                <c:pt idx="2">
                  <c:v>522.15893240997013</c:v>
                </c:pt>
                <c:pt idx="3">
                  <c:v>489.85477624026879</c:v>
                </c:pt>
                <c:pt idx="4">
                  <c:v>517.52047721448412</c:v>
                </c:pt>
                <c:pt idx="5">
                  <c:v>714.62343208077868</c:v>
                </c:pt>
                <c:pt idx="6">
                  <c:v>655.78911393365809</c:v>
                </c:pt>
                <c:pt idx="7">
                  <c:v>655.51802230583974</c:v>
                </c:pt>
                <c:pt idx="8">
                  <c:v>234.62639906314621</c:v>
                </c:pt>
                <c:pt idx="9">
                  <c:v>194.94</c:v>
                </c:pt>
                <c:pt idx="10">
                  <c:v>623.76605117880376</c:v>
                </c:pt>
                <c:pt idx="11">
                  <c:v>78.48388524263359</c:v>
                </c:pt>
                <c:pt idx="12">
                  <c:v>203.79417284509739</c:v>
                </c:pt>
                <c:pt idx="13">
                  <c:v>92.17060855525591</c:v>
                </c:pt>
                <c:pt idx="14">
                  <c:v>655.50701497985222</c:v>
                </c:pt>
                <c:pt idx="15">
                  <c:v>640.67559253308514</c:v>
                </c:pt>
                <c:pt idx="16">
                  <c:v>0</c:v>
                </c:pt>
                <c:pt idx="17">
                  <c:v>136.3006717107952</c:v>
                </c:pt>
                <c:pt idx="18">
                  <c:v>462.16425567467712</c:v>
                </c:pt>
                <c:pt idx="19">
                  <c:v>357.60497950675682</c:v>
                </c:pt>
                <c:pt idx="20">
                  <c:v>308.79948930330761</c:v>
                </c:pt>
                <c:pt idx="21">
                  <c:v>91.081817491604937</c:v>
                </c:pt>
                <c:pt idx="22">
                  <c:v>50.184830572777301</c:v>
                </c:pt>
                <c:pt idx="23">
                  <c:v>342.12744578910309</c:v>
                </c:pt>
                <c:pt idx="24">
                  <c:v>275.04295214247242</c:v>
                </c:pt>
                <c:pt idx="25">
                  <c:v>310.12674920187158</c:v>
                </c:pt>
                <c:pt idx="26">
                  <c:v>287.22329580265819</c:v>
                </c:pt>
                <c:pt idx="27">
                  <c:v>137.37203482750479</c:v>
                </c:pt>
                <c:pt idx="28">
                  <c:v>200.8225891410049</c:v>
                </c:pt>
                <c:pt idx="29">
                  <c:v>141.70352059509079</c:v>
                </c:pt>
                <c:pt idx="30">
                  <c:v>47.125895193804368</c:v>
                </c:pt>
                <c:pt idx="31">
                  <c:v>0</c:v>
                </c:pt>
                <c:pt idx="32">
                  <c:v>96.995768515047814</c:v>
                </c:pt>
                <c:pt idx="33">
                  <c:v>48.921138991903462</c:v>
                </c:pt>
                <c:pt idx="34">
                  <c:v>49.146050278868977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B9-4A82-BA76-D15499193573}"/>
            </c:ext>
          </c:extLst>
        </c:ser>
        <c:ser>
          <c:idx val="1"/>
          <c:order val="1"/>
          <c:tx>
            <c:strRef>
              <c:f>State_LA!$M$1</c:f>
              <c:strCache>
                <c:ptCount val="1"/>
                <c:pt idx="0">
                  <c:v>NRIS $/kW</c:v>
                </c:pt>
              </c:strCache>
            </c:strRef>
          </c:tx>
          <c:invertIfNegative val="0"/>
          <c:val>
            <c:numRef>
              <c:f>State_LA!$M$2:$M$36</c:f>
              <c:numCache>
                <c:formatCode>#,##0</c:formatCode>
                <c:ptCount val="35"/>
                <c:pt idx="0">
                  <c:v>0</c:v>
                </c:pt>
                <c:pt idx="1">
                  <c:v>450.00555555555547</c:v>
                </c:pt>
                <c:pt idx="2">
                  <c:v>758.9749999999998</c:v>
                </c:pt>
                <c:pt idx="3">
                  <c:v>759.11999999999978</c:v>
                </c:pt>
                <c:pt idx="4">
                  <c:v>429.57037037037043</c:v>
                </c:pt>
                <c:pt idx="5">
                  <c:v>0</c:v>
                </c:pt>
                <c:pt idx="6">
                  <c:v>206.51400000000001</c:v>
                </c:pt>
                <c:pt idx="7">
                  <c:v>206.51400000000001</c:v>
                </c:pt>
                <c:pt idx="8">
                  <c:v>462.03750000000002</c:v>
                </c:pt>
                <c:pt idx="9">
                  <c:v>484.51</c:v>
                </c:pt>
                <c:pt idx="10">
                  <c:v>0</c:v>
                </c:pt>
                <c:pt idx="11">
                  <c:v>654.06111111111125</c:v>
                </c:pt>
                <c:pt idx="12">
                  <c:v>381.59793814432999</c:v>
                </c:pt>
                <c:pt idx="13">
                  <c:v>325.2407407407407</c:v>
                </c:pt>
                <c:pt idx="14">
                  <c:v>0</c:v>
                </c:pt>
                <c:pt idx="15">
                  <c:v>0</c:v>
                </c:pt>
                <c:pt idx="16">
                  <c:v>377.24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355.97500000000002</c:v>
                </c:pt>
                <c:pt idx="22">
                  <c:v>444.50156968014932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FB9-4A82-BA76-D15499193573}"/>
            </c:ext>
          </c:extLst>
        </c:ser>
        <c:ser>
          <c:idx val="2"/>
          <c:order val="2"/>
          <c:tx>
            <c:strRef>
              <c:f>State_LA!$O$1</c:f>
              <c:strCache>
                <c:ptCount val="1"/>
                <c:pt idx="0">
                  <c:v>Interconnection Facility Cost $/kW</c:v>
                </c:pt>
              </c:strCache>
            </c:strRef>
          </c:tx>
          <c:invertIfNegative val="0"/>
          <c:val>
            <c:numRef>
              <c:f>State_LA!$O$2:$O$36</c:f>
              <c:numCache>
                <c:formatCode>"$"#,##0.00_);[Red]\("$"#,##0.00\)</c:formatCode>
                <c:ptCount val="35"/>
                <c:pt idx="0">
                  <c:v>90.333333333333329</c:v>
                </c:pt>
                <c:pt idx="1">
                  <c:v>821.62222222222226</c:v>
                </c:pt>
                <c:pt idx="2">
                  <c:v>21.373200000000001</c:v>
                </c:pt>
                <c:pt idx="3">
                  <c:v>35.724049999999998</c:v>
                </c:pt>
                <c:pt idx="4">
                  <c:v>154.96296296296296</c:v>
                </c:pt>
                <c:pt idx="5">
                  <c:v>303.36999999999995</c:v>
                </c:pt>
                <c:pt idx="6">
                  <c:v>15.72</c:v>
                </c:pt>
                <c:pt idx="7">
                  <c:v>15.72</c:v>
                </c:pt>
                <c:pt idx="8">
                  <c:v>131.20332500000001</c:v>
                </c:pt>
                <c:pt idx="9">
                  <c:v>110.29768000000001</c:v>
                </c:pt>
                <c:pt idx="10">
                  <c:v>158</c:v>
                </c:pt>
                <c:pt idx="11">
                  <c:v>30.122061111111112</c:v>
                </c:pt>
                <c:pt idx="12">
                  <c:v>156.85141752577323</c:v>
                </c:pt>
                <c:pt idx="13">
                  <c:v>318.11111111111114</c:v>
                </c:pt>
                <c:pt idx="14">
                  <c:v>17.433333333333337</c:v>
                </c:pt>
                <c:pt idx="15">
                  <c:v>0</c:v>
                </c:pt>
                <c:pt idx="16">
                  <c:v>212.64</c:v>
                </c:pt>
                <c:pt idx="17">
                  <c:v>436.21999999999997</c:v>
                </c:pt>
                <c:pt idx="18">
                  <c:v>93.238095238095227</c:v>
                </c:pt>
                <c:pt idx="19">
                  <c:v>189.50357142857143</c:v>
                </c:pt>
                <c:pt idx="20">
                  <c:v>232.375</c:v>
                </c:pt>
                <c:pt idx="21">
                  <c:v>51.500000000000007</c:v>
                </c:pt>
                <c:pt idx="22">
                  <c:v>0</c:v>
                </c:pt>
                <c:pt idx="23">
                  <c:v>80.25</c:v>
                </c:pt>
                <c:pt idx="24">
                  <c:v>119.73333333333335</c:v>
                </c:pt>
                <c:pt idx="25">
                  <c:v>79.199999999999989</c:v>
                </c:pt>
                <c:pt idx="26">
                  <c:v>68.28</c:v>
                </c:pt>
                <c:pt idx="27">
                  <c:v>194.30857142857141</c:v>
                </c:pt>
                <c:pt idx="28">
                  <c:v>128.31276875</c:v>
                </c:pt>
                <c:pt idx="29">
                  <c:v>161.04500000000002</c:v>
                </c:pt>
                <c:pt idx="30">
                  <c:v>143.875</c:v>
                </c:pt>
                <c:pt idx="31">
                  <c:v>156.20666666666665</c:v>
                </c:pt>
                <c:pt idx="32">
                  <c:v>51.36</c:v>
                </c:pt>
                <c:pt idx="33">
                  <c:v>77.85499999999999</c:v>
                </c:pt>
                <c:pt idx="34">
                  <c:v>24.2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B9-4A82-BA76-D15499193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7427840"/>
        <c:axId val="977426880"/>
      </c:barChart>
      <c:lineChart>
        <c:grouping val="stacked"/>
        <c:varyColors val="0"/>
        <c:ser>
          <c:idx val="3"/>
          <c:order val="3"/>
          <c:tx>
            <c:v>Average</c:v>
          </c:tx>
          <c:marker>
            <c:symbol val="none"/>
          </c:marker>
          <c:val>
            <c:numRef>
              <c:f>State_LA!$W$2:$W$36</c:f>
              <c:numCache>
                <c:formatCode>General</c:formatCode>
                <c:ptCount val="35"/>
                <c:pt idx="0">
                  <c:v>685.01838628141309</c:v>
                </c:pt>
                <c:pt idx="1">
                  <c:v>685.01838628141309</c:v>
                </c:pt>
                <c:pt idx="2">
                  <c:v>685.01838628141309</c:v>
                </c:pt>
                <c:pt idx="3">
                  <c:v>685.01838628141309</c:v>
                </c:pt>
                <c:pt idx="4">
                  <c:v>685.01838628141309</c:v>
                </c:pt>
                <c:pt idx="5">
                  <c:v>685.01838628141309</c:v>
                </c:pt>
                <c:pt idx="6">
                  <c:v>685.01838628141309</c:v>
                </c:pt>
                <c:pt idx="7">
                  <c:v>685.01838628141309</c:v>
                </c:pt>
                <c:pt idx="8">
                  <c:v>685.01838628141309</c:v>
                </c:pt>
                <c:pt idx="9">
                  <c:v>685.01838628141309</c:v>
                </c:pt>
                <c:pt idx="10">
                  <c:v>685.01838628141309</c:v>
                </c:pt>
                <c:pt idx="11">
                  <c:v>685.01838628141309</c:v>
                </c:pt>
                <c:pt idx="12">
                  <c:v>685.01838628141309</c:v>
                </c:pt>
                <c:pt idx="13">
                  <c:v>685.01838628141309</c:v>
                </c:pt>
                <c:pt idx="14">
                  <c:v>685.01838628141309</c:v>
                </c:pt>
                <c:pt idx="15">
                  <c:v>685.01838628141309</c:v>
                </c:pt>
                <c:pt idx="16">
                  <c:v>685.01838628141309</c:v>
                </c:pt>
                <c:pt idx="17">
                  <c:v>685.01838628141309</c:v>
                </c:pt>
                <c:pt idx="18">
                  <c:v>685.01838628141309</c:v>
                </c:pt>
                <c:pt idx="19">
                  <c:v>685.01838628141309</c:v>
                </c:pt>
                <c:pt idx="20">
                  <c:v>685.01838628141309</c:v>
                </c:pt>
                <c:pt idx="21">
                  <c:v>685.01838628141309</c:v>
                </c:pt>
                <c:pt idx="22">
                  <c:v>685.01838628141309</c:v>
                </c:pt>
                <c:pt idx="23">
                  <c:v>685.01838628141309</c:v>
                </c:pt>
                <c:pt idx="24">
                  <c:v>685.01838628141309</c:v>
                </c:pt>
                <c:pt idx="25">
                  <c:v>685.01838628141309</c:v>
                </c:pt>
                <c:pt idx="26">
                  <c:v>685.01838628141309</c:v>
                </c:pt>
                <c:pt idx="27">
                  <c:v>685.01838628141309</c:v>
                </c:pt>
                <c:pt idx="28">
                  <c:v>685.01838628141309</c:v>
                </c:pt>
                <c:pt idx="29">
                  <c:v>685.01838628141309</c:v>
                </c:pt>
                <c:pt idx="30">
                  <c:v>685.01838628141309</c:v>
                </c:pt>
                <c:pt idx="31">
                  <c:v>685.01838628141309</c:v>
                </c:pt>
                <c:pt idx="32">
                  <c:v>685.01838628141309</c:v>
                </c:pt>
                <c:pt idx="33">
                  <c:v>685.01838628141309</c:v>
                </c:pt>
                <c:pt idx="34">
                  <c:v>685.01838628141309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A0-4EA7-825F-CDEC0B83F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7427840"/>
        <c:axId val="977426880"/>
      </c:lineChart>
      <c:catAx>
        <c:axId val="977427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Project #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77426880"/>
        <c:crosses val="autoZero"/>
        <c:auto val="1"/>
        <c:lblAlgn val="ctr"/>
        <c:lblOffset val="100"/>
        <c:noMultiLvlLbl val="0"/>
      </c:catAx>
      <c:valAx>
        <c:axId val="9774268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$/kW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977427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716048305596147"/>
          <c:y val="0.45191811023622047"/>
          <c:w val="0.15558968827526695"/>
          <c:h val="0.16073700787401574"/>
        </c:manualLayout>
      </c:layout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ERIS + NRIS $/kW — MS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State_MS!$K$1</c:f>
              <c:strCache>
                <c:ptCount val="1"/>
                <c:pt idx="0">
                  <c:v>ERIS $/kW</c:v>
                </c:pt>
              </c:strCache>
            </c:strRef>
          </c:tx>
          <c:invertIfNegative val="0"/>
          <c:cat>
            <c:strRef>
              <c:f>State_MS!$B$2:$B$25</c:f>
              <c:strCache>
                <c:ptCount val="24"/>
                <c:pt idx="0">
                  <c:v>J2869</c:v>
                </c:pt>
                <c:pt idx="1">
                  <c:v>J3186</c:v>
                </c:pt>
                <c:pt idx="2">
                  <c:v>J3231</c:v>
                </c:pt>
                <c:pt idx="3">
                  <c:v>J3028</c:v>
                </c:pt>
                <c:pt idx="4">
                  <c:v>J2571</c:v>
                </c:pt>
                <c:pt idx="5">
                  <c:v>J2685</c:v>
                </c:pt>
                <c:pt idx="6">
                  <c:v>J3093</c:v>
                </c:pt>
                <c:pt idx="7">
                  <c:v>J3175</c:v>
                </c:pt>
                <c:pt idx="8">
                  <c:v>J2720</c:v>
                </c:pt>
                <c:pt idx="9">
                  <c:v>J2957</c:v>
                </c:pt>
                <c:pt idx="10">
                  <c:v>J2602</c:v>
                </c:pt>
                <c:pt idx="11">
                  <c:v>J3139</c:v>
                </c:pt>
                <c:pt idx="12">
                  <c:v>J2893</c:v>
                </c:pt>
                <c:pt idx="13">
                  <c:v>J2751</c:v>
                </c:pt>
                <c:pt idx="14">
                  <c:v>J2761</c:v>
                </c:pt>
                <c:pt idx="15">
                  <c:v>J2999</c:v>
                </c:pt>
                <c:pt idx="16">
                  <c:v>J2873</c:v>
                </c:pt>
                <c:pt idx="17">
                  <c:v>J3053</c:v>
                </c:pt>
                <c:pt idx="18">
                  <c:v>J3049</c:v>
                </c:pt>
                <c:pt idx="19">
                  <c:v>J2752</c:v>
                </c:pt>
                <c:pt idx="20">
                  <c:v>J2763</c:v>
                </c:pt>
                <c:pt idx="21">
                  <c:v>J2966</c:v>
                </c:pt>
                <c:pt idx="22">
                  <c:v>J2330</c:v>
                </c:pt>
                <c:pt idx="23">
                  <c:v>J2740</c:v>
                </c:pt>
              </c:strCache>
            </c:strRef>
          </c:cat>
          <c:val>
            <c:numRef>
              <c:f>State_MS!$K$2:$K$25</c:f>
              <c:numCache>
                <c:formatCode>#,##0</c:formatCode>
                <c:ptCount val="24"/>
                <c:pt idx="0">
                  <c:v>1014.302601752623</c:v>
                </c:pt>
                <c:pt idx="1">
                  <c:v>242.47605088122111</c:v>
                </c:pt>
                <c:pt idx="2">
                  <c:v>843.85242011647892</c:v>
                </c:pt>
                <c:pt idx="3">
                  <c:v>965.95334963952962</c:v>
                </c:pt>
                <c:pt idx="4">
                  <c:v>71.820040353251969</c:v>
                </c:pt>
                <c:pt idx="5">
                  <c:v>1079.180036694341</c:v>
                </c:pt>
                <c:pt idx="6">
                  <c:v>725.58215365045612</c:v>
                </c:pt>
                <c:pt idx="7">
                  <c:v>321.76212359852599</c:v>
                </c:pt>
                <c:pt idx="8">
                  <c:v>476.86913366241367</c:v>
                </c:pt>
                <c:pt idx="9">
                  <c:v>111.4778729734014</c:v>
                </c:pt>
                <c:pt idx="10">
                  <c:v>355.71812688399308</c:v>
                </c:pt>
                <c:pt idx="11">
                  <c:v>375.68650555070172</c:v>
                </c:pt>
                <c:pt idx="12">
                  <c:v>544.93798586681442</c:v>
                </c:pt>
                <c:pt idx="13">
                  <c:v>496.95900558893692</c:v>
                </c:pt>
                <c:pt idx="14">
                  <c:v>39.748929265226828</c:v>
                </c:pt>
                <c:pt idx="15">
                  <c:v>172.87753070101971</c:v>
                </c:pt>
                <c:pt idx="16">
                  <c:v>331.90757831263733</c:v>
                </c:pt>
                <c:pt idx="17">
                  <c:v>289.70638367973243</c:v>
                </c:pt>
                <c:pt idx="18">
                  <c:v>289.128557336884</c:v>
                </c:pt>
                <c:pt idx="19">
                  <c:v>246.5956430390163</c:v>
                </c:pt>
                <c:pt idx="20">
                  <c:v>221.84751937681111</c:v>
                </c:pt>
                <c:pt idx="21">
                  <c:v>294.26677422999558</c:v>
                </c:pt>
                <c:pt idx="22">
                  <c:v>182.18321488014229</c:v>
                </c:pt>
                <c:pt idx="23">
                  <c:v>120.75667840497471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80-4B3E-8377-41E9A16DC8F0}"/>
            </c:ext>
          </c:extLst>
        </c:ser>
        <c:ser>
          <c:idx val="1"/>
          <c:order val="1"/>
          <c:tx>
            <c:strRef>
              <c:f>State_MS!$M$1</c:f>
              <c:strCache>
                <c:ptCount val="1"/>
                <c:pt idx="0">
                  <c:v>NRIS $/kW</c:v>
                </c:pt>
              </c:strCache>
            </c:strRef>
          </c:tx>
          <c:invertIfNegative val="0"/>
          <c:val>
            <c:numRef>
              <c:f>State_MS!$M$2:$M$25</c:f>
              <c:numCache>
                <c:formatCode>#,##0</c:formatCode>
                <c:ptCount val="24"/>
                <c:pt idx="0">
                  <c:v>649.46666666666636</c:v>
                </c:pt>
                <c:pt idx="1">
                  <c:v>1001.04</c:v>
                </c:pt>
                <c:pt idx="2">
                  <c:v>364.99</c:v>
                </c:pt>
                <c:pt idx="3">
                  <c:v>123.42</c:v>
                </c:pt>
                <c:pt idx="4">
                  <c:v>1069.9546998867499</c:v>
                </c:pt>
                <c:pt idx="5">
                  <c:v>0</c:v>
                </c:pt>
                <c:pt idx="6">
                  <c:v>0</c:v>
                </c:pt>
                <c:pt idx="7">
                  <c:v>572.52499999999998</c:v>
                </c:pt>
                <c:pt idx="8">
                  <c:v>258.37333333333328</c:v>
                </c:pt>
                <c:pt idx="9">
                  <c:v>561.01999999999975</c:v>
                </c:pt>
                <c:pt idx="10">
                  <c:v>424.88799999999998</c:v>
                </c:pt>
                <c:pt idx="11">
                  <c:v>241.16888888888889</c:v>
                </c:pt>
                <c:pt idx="12">
                  <c:v>0</c:v>
                </c:pt>
                <c:pt idx="13">
                  <c:v>0</c:v>
                </c:pt>
                <c:pt idx="14">
                  <c:v>216.88</c:v>
                </c:pt>
                <c:pt idx="15">
                  <c:v>114.7199999999999</c:v>
                </c:pt>
                <c:pt idx="16">
                  <c:v>143.1393939393939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080-4B3E-8377-41E9A16DC8F0}"/>
            </c:ext>
          </c:extLst>
        </c:ser>
        <c:ser>
          <c:idx val="2"/>
          <c:order val="2"/>
          <c:tx>
            <c:strRef>
              <c:f>State_MS!$O$1</c:f>
              <c:strCache>
                <c:ptCount val="1"/>
                <c:pt idx="0">
                  <c:v>Interconnection Facility Cost $/kW</c:v>
                </c:pt>
              </c:strCache>
            </c:strRef>
          </c:tx>
          <c:invertIfNegative val="0"/>
          <c:val>
            <c:numRef>
              <c:f>State_MS!$O$2:$O$25</c:f>
              <c:numCache>
                <c:formatCode>"$"#,##0.00_);[Red]\("$"#,##0.00\)</c:formatCode>
                <c:ptCount val="24"/>
                <c:pt idx="0">
                  <c:v>128</c:v>
                </c:pt>
                <c:pt idx="1">
                  <c:v>164.89999999999998</c:v>
                </c:pt>
                <c:pt idx="2">
                  <c:v>115</c:v>
                </c:pt>
                <c:pt idx="3">
                  <c:v>89.614860000000007</c:v>
                </c:pt>
                <c:pt idx="4">
                  <c:v>2.7746319365798415</c:v>
                </c:pt>
                <c:pt idx="5">
                  <c:v>42.083333333333336</c:v>
                </c:pt>
                <c:pt idx="6">
                  <c:v>266.52692999999999</c:v>
                </c:pt>
                <c:pt idx="7">
                  <c:v>0</c:v>
                </c:pt>
                <c:pt idx="8">
                  <c:v>146.06666666666669</c:v>
                </c:pt>
                <c:pt idx="9">
                  <c:v>159.20000000000002</c:v>
                </c:pt>
                <c:pt idx="10">
                  <c:v>25.16</c:v>
                </c:pt>
                <c:pt idx="11">
                  <c:v>17.022222222222222</c:v>
                </c:pt>
                <c:pt idx="12">
                  <c:v>74.5</c:v>
                </c:pt>
                <c:pt idx="13">
                  <c:v>89.44</c:v>
                </c:pt>
                <c:pt idx="14">
                  <c:v>303.34202999999997</c:v>
                </c:pt>
                <c:pt idx="15">
                  <c:v>260</c:v>
                </c:pt>
                <c:pt idx="16">
                  <c:v>57.645369696969695</c:v>
                </c:pt>
                <c:pt idx="17">
                  <c:v>157.7082426035503</c:v>
                </c:pt>
                <c:pt idx="18">
                  <c:v>141.76964361702127</c:v>
                </c:pt>
                <c:pt idx="19">
                  <c:v>151.81818181818181</c:v>
                </c:pt>
                <c:pt idx="20">
                  <c:v>146.69999999999999</c:v>
                </c:pt>
                <c:pt idx="21">
                  <c:v>39.511111111111113</c:v>
                </c:pt>
                <c:pt idx="22">
                  <c:v>92.550000000000011</c:v>
                </c:pt>
                <c:pt idx="23">
                  <c:v>97.733333333333334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080-4B3E-8377-41E9A16DC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8998783"/>
        <c:axId val="1048999743"/>
      </c:barChart>
      <c:lineChart>
        <c:grouping val="standard"/>
        <c:varyColors val="0"/>
        <c:ser>
          <c:idx val="3"/>
          <c:order val="3"/>
          <c:tx>
            <c:strRef>
              <c:f>State_MS!$U$1</c:f>
              <c:strCache>
                <c:ptCount val="1"/>
                <c:pt idx="0">
                  <c:v>Average</c:v>
                </c:pt>
              </c:strCache>
            </c:strRef>
          </c:tx>
          <c:marker>
            <c:symbol val="none"/>
          </c:marker>
          <c:val>
            <c:numRef>
              <c:f>State_MS!$U$2:$U$25</c:f>
              <c:numCache>
                <c:formatCode>General</c:formatCode>
                <c:ptCount val="24"/>
                <c:pt idx="0">
                  <c:v>763.59369814554714</c:v>
                </c:pt>
                <c:pt idx="1">
                  <c:v>763.59369814554714</c:v>
                </c:pt>
                <c:pt idx="2">
                  <c:v>763.59369814554714</c:v>
                </c:pt>
                <c:pt idx="3">
                  <c:v>763.59369814554714</c:v>
                </c:pt>
                <c:pt idx="4">
                  <c:v>763.59369814554714</c:v>
                </c:pt>
                <c:pt idx="5">
                  <c:v>763.59369814554714</c:v>
                </c:pt>
                <c:pt idx="6">
                  <c:v>763.59369814554714</c:v>
                </c:pt>
                <c:pt idx="7">
                  <c:v>763.59369814554714</c:v>
                </c:pt>
                <c:pt idx="8">
                  <c:v>763.59369814554714</c:v>
                </c:pt>
                <c:pt idx="9">
                  <c:v>763.59369814554714</c:v>
                </c:pt>
                <c:pt idx="10">
                  <c:v>763.59369814554714</c:v>
                </c:pt>
                <c:pt idx="11">
                  <c:v>763.59369814554714</c:v>
                </c:pt>
                <c:pt idx="12">
                  <c:v>763.59369814554714</c:v>
                </c:pt>
                <c:pt idx="13">
                  <c:v>763.59369814554714</c:v>
                </c:pt>
                <c:pt idx="14">
                  <c:v>763.59369814554714</c:v>
                </c:pt>
                <c:pt idx="15">
                  <c:v>763.59369814554714</c:v>
                </c:pt>
                <c:pt idx="16">
                  <c:v>763.59369814554714</c:v>
                </c:pt>
                <c:pt idx="17">
                  <c:v>763.59369814554714</c:v>
                </c:pt>
                <c:pt idx="18">
                  <c:v>763.59369814554714</c:v>
                </c:pt>
                <c:pt idx="19">
                  <c:v>763.59369814554714</c:v>
                </c:pt>
                <c:pt idx="20">
                  <c:v>763.59369814554714</c:v>
                </c:pt>
                <c:pt idx="21">
                  <c:v>763.59369814554714</c:v>
                </c:pt>
                <c:pt idx="22">
                  <c:v>763.59369814554714</c:v>
                </c:pt>
                <c:pt idx="23">
                  <c:v>763.59369814554714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5D-4A50-A4F8-CA1BCA7C9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8998783"/>
        <c:axId val="1048999743"/>
      </c:lineChart>
      <c:catAx>
        <c:axId val="1048998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Project #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48999743"/>
        <c:crosses val="autoZero"/>
        <c:auto val="1"/>
        <c:lblAlgn val="ctr"/>
        <c:lblOffset val="100"/>
        <c:noMultiLvlLbl val="0"/>
      </c:catAx>
      <c:valAx>
        <c:axId val="10489997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$/kW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048998783"/>
        <c:crosses val="autoZero"/>
        <c:crossBetween val="between"/>
      </c:valAx>
    </c:plotArea>
    <c:legend>
      <c:legendPos val="r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ERIS + NRIS $/kW — TX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State_TX!$K$1</c:f>
              <c:strCache>
                <c:ptCount val="1"/>
                <c:pt idx="0">
                  <c:v>ERIS $/kW</c:v>
                </c:pt>
              </c:strCache>
            </c:strRef>
          </c:tx>
          <c:invertIfNegative val="0"/>
          <c:cat>
            <c:strRef>
              <c:f>State_TX!$B$2:$B$8</c:f>
              <c:strCache>
                <c:ptCount val="7"/>
                <c:pt idx="0">
                  <c:v>J2629</c:v>
                </c:pt>
                <c:pt idx="1">
                  <c:v>J2952</c:v>
                </c:pt>
                <c:pt idx="2">
                  <c:v>J3169</c:v>
                </c:pt>
                <c:pt idx="3">
                  <c:v>J3045</c:v>
                </c:pt>
                <c:pt idx="4">
                  <c:v>J2754</c:v>
                </c:pt>
                <c:pt idx="5">
                  <c:v>J2689</c:v>
                </c:pt>
                <c:pt idx="6">
                  <c:v>J2897</c:v>
                </c:pt>
              </c:strCache>
            </c:strRef>
          </c:cat>
          <c:val>
            <c:numRef>
              <c:f>State_TX!$K$2:$K$8</c:f>
              <c:numCache>
                <c:formatCode>#,##0</c:formatCode>
                <c:ptCount val="7"/>
                <c:pt idx="0">
                  <c:v>695.15822196469287</c:v>
                </c:pt>
                <c:pt idx="1">
                  <c:v>45.413640630066169</c:v>
                </c:pt>
                <c:pt idx="2">
                  <c:v>140.07877998741691</c:v>
                </c:pt>
                <c:pt idx="3">
                  <c:v>113.1965549765663</c:v>
                </c:pt>
                <c:pt idx="4">
                  <c:v>44.116097852033342</c:v>
                </c:pt>
                <c:pt idx="5">
                  <c:v>44.430132613448222</c:v>
                </c:pt>
                <c:pt idx="6">
                  <c:v>63.489560433277177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48-4A05-BBAE-92EBB2946B3B}"/>
            </c:ext>
          </c:extLst>
        </c:ser>
        <c:ser>
          <c:idx val="1"/>
          <c:order val="1"/>
          <c:tx>
            <c:strRef>
              <c:f>State_TX!$M$1</c:f>
              <c:strCache>
                <c:ptCount val="1"/>
                <c:pt idx="0">
                  <c:v>NRIS $/kW</c:v>
                </c:pt>
              </c:strCache>
            </c:strRef>
          </c:tx>
          <c:invertIfNegative val="0"/>
          <c:val>
            <c:numRef>
              <c:f>State_TX!$M$2:$M$8</c:f>
              <c:numCache>
                <c:formatCode>#,##0</c:formatCode>
                <c:ptCount val="7"/>
                <c:pt idx="0">
                  <c:v>385.85142857142853</c:v>
                </c:pt>
                <c:pt idx="1">
                  <c:v>419.62000000000012</c:v>
                </c:pt>
                <c:pt idx="2">
                  <c:v>428.28500000000003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048-4A05-BBAE-92EBB2946B3B}"/>
            </c:ext>
          </c:extLst>
        </c:ser>
        <c:ser>
          <c:idx val="2"/>
          <c:order val="3"/>
          <c:tx>
            <c:strRef>
              <c:f>State_TX!$O$1</c:f>
              <c:strCache>
                <c:ptCount val="1"/>
                <c:pt idx="0">
                  <c:v>Interconnection Facility Cost $/kW</c:v>
                </c:pt>
              </c:strCache>
            </c:strRef>
          </c:tx>
          <c:invertIfNegative val="0"/>
          <c:val>
            <c:numRef>
              <c:f>State_TX!$O$2:$O$8</c:f>
              <c:numCache>
                <c:formatCode>"$"#,##0.00_);[Red]\("$"#,##0.00\)</c:formatCode>
                <c:ptCount val="7"/>
                <c:pt idx="0">
                  <c:v>140.02857142857141</c:v>
                </c:pt>
                <c:pt idx="1">
                  <c:v>259.34000000000003</c:v>
                </c:pt>
                <c:pt idx="2">
                  <c:v>76.064999999999998</c:v>
                </c:pt>
                <c:pt idx="3">
                  <c:v>72.486666666666665</c:v>
                </c:pt>
                <c:pt idx="4">
                  <c:v>118.85882352941177</c:v>
                </c:pt>
                <c:pt idx="5">
                  <c:v>70.2</c:v>
                </c:pt>
                <c:pt idx="6">
                  <c:v>30.426666666666669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8E-42C5-BE2C-AED3A089D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0399968"/>
        <c:axId val="980398528"/>
      </c:barChart>
      <c:lineChart>
        <c:grouping val="standard"/>
        <c:varyColors val="0"/>
        <c:ser>
          <c:idx val="3"/>
          <c:order val="2"/>
          <c:tx>
            <c:strRef>
              <c:f>State_TX!$U$1</c:f>
              <c:strCache>
                <c:ptCount val="1"/>
                <c:pt idx="0">
                  <c:v>Average</c:v>
                </c:pt>
              </c:strCache>
            </c:strRef>
          </c:tx>
          <c:marker>
            <c:symbol val="none"/>
          </c:marker>
          <c:val>
            <c:numRef>
              <c:f>State_TX!$U$2:$U$8</c:f>
              <c:numCache>
                <c:formatCode>General</c:formatCode>
                <c:ptCount val="7"/>
                <c:pt idx="0">
                  <c:v>449.5778779028924</c:v>
                </c:pt>
                <c:pt idx="1">
                  <c:v>449.5778779028924</c:v>
                </c:pt>
                <c:pt idx="2">
                  <c:v>449.5778779028924</c:v>
                </c:pt>
                <c:pt idx="3">
                  <c:v>449.5778779028924</c:v>
                </c:pt>
                <c:pt idx="4">
                  <c:v>449.5778779028924</c:v>
                </c:pt>
                <c:pt idx="5">
                  <c:v>449.5778779028924</c:v>
                </c:pt>
                <c:pt idx="6">
                  <c:v>449.5778779028924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8E-42C5-BE2C-AED3A089D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0399968"/>
        <c:axId val="980398528"/>
      </c:lineChart>
      <c:catAx>
        <c:axId val="980399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Project #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80398528"/>
        <c:crosses val="autoZero"/>
        <c:auto val="1"/>
        <c:lblAlgn val="ctr"/>
        <c:lblOffset val="100"/>
        <c:noMultiLvlLbl val="0"/>
      </c:catAx>
      <c:valAx>
        <c:axId val="9803985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$/kW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980399968"/>
        <c:crosses val="autoZero"/>
        <c:crossBetween val="between"/>
      </c:valAx>
    </c:plotArea>
    <c:legend>
      <c:legendPos val="r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124</xdr:row>
      <xdr:rowOff>0</xdr:rowOff>
    </xdr:from>
    <xdr:to>
      <xdr:col>22</xdr:col>
      <xdr:colOff>457200</xdr:colOff>
      <xdr:row>154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2F2DD6-E32D-DA0F-80E5-14D1199BF3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58</xdr:row>
      <xdr:rowOff>0</xdr:rowOff>
    </xdr:from>
    <xdr:to>
      <xdr:col>19</xdr:col>
      <xdr:colOff>457200</xdr:colOff>
      <xdr:row>88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8D79DA-5C32-E273-0608-A5E2633A95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21</xdr:col>
      <xdr:colOff>238125</xdr:colOff>
      <xdr:row>68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6366B9-DA26-2D9E-DD77-08B3AF8053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19</xdr:col>
      <xdr:colOff>457200</xdr:colOff>
      <xdr:row>57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20F2F3-82DD-92E5-C090-80CF46D36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19</xdr:col>
      <xdr:colOff>457200</xdr:colOff>
      <xdr:row>40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075867-F797-E43D-BD3A-7F4626528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22"/>
  <sheetViews>
    <sheetView workbookViewId="0">
      <pane ySplit="1" topLeftCell="A2" activePane="bottomLeft" state="frozen"/>
      <selection pane="bottomLeft" activeCell="P4" sqref="P4"/>
    </sheetView>
  </sheetViews>
  <sheetFormatPr defaultRowHeight="15" x14ac:dyDescent="0.25"/>
  <sheetData>
    <row r="1" spans="1:1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B2" t="s">
        <v>15</v>
      </c>
      <c r="D2" t="s">
        <v>16</v>
      </c>
      <c r="F2" t="s">
        <v>17</v>
      </c>
      <c r="G2">
        <v>200</v>
      </c>
      <c r="H2">
        <v>200</v>
      </c>
      <c r="I2" t="s">
        <v>18</v>
      </c>
      <c r="J2" s="2">
        <v>28.340704119018149</v>
      </c>
      <c r="K2" s="3">
        <v>141.70352059509079</v>
      </c>
      <c r="L2" s="2">
        <v>0</v>
      </c>
      <c r="M2" s="3">
        <v>0</v>
      </c>
      <c r="N2" s="2">
        <v>28.340704119018149</v>
      </c>
      <c r="O2" s="3">
        <v>141.70352059509079</v>
      </c>
    </row>
    <row r="3" spans="1:15" x14ac:dyDescent="0.25">
      <c r="B3" t="s">
        <v>19</v>
      </c>
      <c r="D3" t="s">
        <v>20</v>
      </c>
      <c r="F3" t="s">
        <v>17</v>
      </c>
      <c r="G3">
        <v>200</v>
      </c>
      <c r="H3">
        <v>200</v>
      </c>
      <c r="I3" t="s">
        <v>18</v>
      </c>
      <c r="J3" s="2">
        <v>36.436642976028473</v>
      </c>
      <c r="K3" s="3">
        <v>182.18321488014229</v>
      </c>
      <c r="L3" s="2">
        <v>0</v>
      </c>
      <c r="M3" s="3">
        <v>0</v>
      </c>
      <c r="N3" s="2">
        <v>36.436642976028502</v>
      </c>
      <c r="O3" s="3">
        <v>182.18321488014229</v>
      </c>
    </row>
    <row r="4" spans="1:15" x14ac:dyDescent="0.25">
      <c r="B4" t="s">
        <v>21</v>
      </c>
      <c r="D4" t="s">
        <v>22</v>
      </c>
      <c r="F4" t="s">
        <v>17</v>
      </c>
      <c r="G4">
        <v>115.5</v>
      </c>
      <c r="H4">
        <v>115.5</v>
      </c>
      <c r="I4" t="s">
        <v>18</v>
      </c>
      <c r="J4" s="2">
        <v>15.21424988828802</v>
      </c>
      <c r="K4" s="3">
        <v>131.72510725790491</v>
      </c>
      <c r="L4" s="2">
        <v>0</v>
      </c>
      <c r="M4" s="3">
        <v>0</v>
      </c>
      <c r="N4" s="2">
        <v>15.214249888288</v>
      </c>
      <c r="O4" s="3">
        <v>131.72510725790491</v>
      </c>
    </row>
    <row r="5" spans="1:15" x14ac:dyDescent="0.25">
      <c r="B5" t="s">
        <v>23</v>
      </c>
      <c r="D5" t="s">
        <v>22</v>
      </c>
      <c r="F5" t="s">
        <v>24</v>
      </c>
      <c r="G5">
        <v>200</v>
      </c>
      <c r="H5">
        <v>200</v>
      </c>
      <c r="I5" t="s">
        <v>18</v>
      </c>
      <c r="J5" s="2">
        <v>0</v>
      </c>
      <c r="K5" s="3">
        <v>0</v>
      </c>
      <c r="L5" s="2">
        <v>38.131</v>
      </c>
      <c r="M5" s="3">
        <v>190.655</v>
      </c>
      <c r="N5" s="2">
        <v>38.131</v>
      </c>
      <c r="O5" s="3">
        <v>190.655</v>
      </c>
    </row>
    <row r="6" spans="1:15" x14ac:dyDescent="0.25">
      <c r="B6" t="s">
        <v>25</v>
      </c>
      <c r="D6" t="s">
        <v>16</v>
      </c>
      <c r="F6" t="s">
        <v>17</v>
      </c>
      <c r="G6">
        <v>250</v>
      </c>
      <c r="H6">
        <v>250</v>
      </c>
      <c r="I6" t="s">
        <v>18</v>
      </c>
      <c r="J6" s="2">
        <v>71.805823950664546</v>
      </c>
      <c r="K6" s="3">
        <v>287.22329580265819</v>
      </c>
      <c r="L6" s="2">
        <v>0</v>
      </c>
      <c r="M6" s="3">
        <v>0</v>
      </c>
      <c r="N6" s="2">
        <v>71.805823950664546</v>
      </c>
      <c r="O6" s="3">
        <v>287.22329580265819</v>
      </c>
    </row>
    <row r="7" spans="1:15" x14ac:dyDescent="0.25">
      <c r="B7" t="s">
        <v>26</v>
      </c>
      <c r="D7" t="s">
        <v>22</v>
      </c>
      <c r="F7" t="s">
        <v>17</v>
      </c>
      <c r="G7">
        <v>500</v>
      </c>
      <c r="H7">
        <v>500</v>
      </c>
      <c r="I7" t="s">
        <v>18</v>
      </c>
      <c r="J7" s="2">
        <v>165.1211084790589</v>
      </c>
      <c r="K7" s="3">
        <v>330.24221695811792</v>
      </c>
      <c r="L7" s="2">
        <v>0</v>
      </c>
      <c r="M7" s="3">
        <v>0</v>
      </c>
      <c r="N7" s="2">
        <v>165.1211084790589</v>
      </c>
      <c r="O7" s="3">
        <v>330.24221695811792</v>
      </c>
    </row>
    <row r="8" spans="1:15" x14ac:dyDescent="0.25">
      <c r="B8" t="s">
        <v>27</v>
      </c>
      <c r="D8" t="s">
        <v>22</v>
      </c>
      <c r="F8" t="s">
        <v>17</v>
      </c>
      <c r="G8">
        <v>400</v>
      </c>
      <c r="H8">
        <v>400</v>
      </c>
      <c r="I8" t="s">
        <v>18</v>
      </c>
      <c r="J8" s="2">
        <v>131.99214537672759</v>
      </c>
      <c r="K8" s="3">
        <v>329.98036344181901</v>
      </c>
      <c r="L8" s="2">
        <v>0</v>
      </c>
      <c r="M8" s="3">
        <v>0</v>
      </c>
      <c r="N8" s="2">
        <v>131.99214537672759</v>
      </c>
      <c r="O8" s="3">
        <v>329.98036344181901</v>
      </c>
    </row>
    <row r="9" spans="1:15" x14ac:dyDescent="0.25">
      <c r="B9" t="s">
        <v>28</v>
      </c>
      <c r="D9" t="s">
        <v>22</v>
      </c>
      <c r="F9" t="s">
        <v>17</v>
      </c>
      <c r="G9">
        <v>160</v>
      </c>
      <c r="H9">
        <v>160</v>
      </c>
      <c r="I9" t="s">
        <v>29</v>
      </c>
      <c r="J9" s="2">
        <v>45.602387285724582</v>
      </c>
      <c r="K9" s="3">
        <v>285.01492053577857</v>
      </c>
      <c r="L9" s="2">
        <v>0</v>
      </c>
      <c r="M9" s="3">
        <v>0</v>
      </c>
      <c r="N9" s="2">
        <v>45.602387285724582</v>
      </c>
      <c r="O9" s="3">
        <v>285.01492053577857</v>
      </c>
    </row>
    <row r="10" spans="1:15" x14ac:dyDescent="0.25">
      <c r="B10" t="s">
        <v>30</v>
      </c>
      <c r="D10" t="s">
        <v>16</v>
      </c>
      <c r="F10" t="s">
        <v>24</v>
      </c>
      <c r="G10">
        <v>38.799999999999997</v>
      </c>
      <c r="H10">
        <v>38.799999999999997</v>
      </c>
      <c r="I10" t="s">
        <v>31</v>
      </c>
      <c r="J10" s="2">
        <v>7.9072139063897797</v>
      </c>
      <c r="K10" s="3">
        <v>203.79417284509739</v>
      </c>
      <c r="L10" s="2">
        <v>14.805999999999999</v>
      </c>
      <c r="M10" s="3">
        <v>381.59793814432999</v>
      </c>
      <c r="N10" s="2">
        <v>22.713213906389779</v>
      </c>
      <c r="O10" s="3">
        <v>585.39211098942747</v>
      </c>
    </row>
    <row r="11" spans="1:15" x14ac:dyDescent="0.25">
      <c r="B11" t="s">
        <v>32</v>
      </c>
      <c r="D11" t="s">
        <v>22</v>
      </c>
      <c r="F11" t="s">
        <v>17</v>
      </c>
      <c r="G11">
        <v>175</v>
      </c>
      <c r="H11">
        <v>175</v>
      </c>
      <c r="I11" t="s">
        <v>33</v>
      </c>
      <c r="J11" s="2">
        <v>1.48826775836826</v>
      </c>
      <c r="K11" s="3">
        <v>8.5043871906757698</v>
      </c>
      <c r="L11" s="2">
        <v>0</v>
      </c>
      <c r="M11" s="3">
        <v>0</v>
      </c>
      <c r="N11" s="2">
        <v>1.48826775836826</v>
      </c>
      <c r="O11" s="3">
        <v>8.5043871906757698</v>
      </c>
    </row>
    <row r="12" spans="1:15" x14ac:dyDescent="0.25">
      <c r="B12" t="s">
        <v>34</v>
      </c>
      <c r="D12" t="s">
        <v>22</v>
      </c>
      <c r="F12" t="s">
        <v>24</v>
      </c>
      <c r="G12">
        <v>100</v>
      </c>
      <c r="H12">
        <v>100</v>
      </c>
      <c r="I12" t="s">
        <v>29</v>
      </c>
      <c r="J12" s="2">
        <v>10.69871105250273</v>
      </c>
      <c r="K12" s="3">
        <v>106.9871105250273</v>
      </c>
      <c r="L12" s="2">
        <v>72.881999999999991</v>
      </c>
      <c r="M12" s="3">
        <v>728.81999999999994</v>
      </c>
      <c r="N12" s="2">
        <v>83.580711052502721</v>
      </c>
      <c r="O12" s="3">
        <v>835.80711052502727</v>
      </c>
    </row>
    <row r="13" spans="1:15" x14ac:dyDescent="0.25">
      <c r="B13" t="s">
        <v>35</v>
      </c>
      <c r="D13" t="s">
        <v>16</v>
      </c>
      <c r="F13" t="s">
        <v>24</v>
      </c>
      <c r="G13">
        <v>40</v>
      </c>
      <c r="H13">
        <v>40</v>
      </c>
      <c r="I13" t="s">
        <v>31</v>
      </c>
      <c r="J13" s="2">
        <v>3.6432726996641969</v>
      </c>
      <c r="K13" s="3">
        <v>91.081817491604937</v>
      </c>
      <c r="L13" s="2">
        <v>14.239000000000001</v>
      </c>
      <c r="M13" s="3">
        <v>355.97500000000002</v>
      </c>
      <c r="N13" s="2">
        <v>17.882272699664199</v>
      </c>
      <c r="O13" s="3">
        <v>447.05681749160499</v>
      </c>
    </row>
    <row r="14" spans="1:15" x14ac:dyDescent="0.25">
      <c r="B14" t="s">
        <v>36</v>
      </c>
      <c r="D14" t="s">
        <v>22</v>
      </c>
      <c r="F14" t="s">
        <v>17</v>
      </c>
      <c r="G14">
        <v>600</v>
      </c>
      <c r="H14">
        <v>600</v>
      </c>
      <c r="I14" t="s">
        <v>18</v>
      </c>
      <c r="J14" s="2">
        <v>98.942852827240714</v>
      </c>
      <c r="K14" s="3">
        <v>164.9047547120679</v>
      </c>
      <c r="L14" s="2">
        <v>0</v>
      </c>
      <c r="M14" s="3">
        <v>0</v>
      </c>
      <c r="N14" s="2">
        <v>98.942852827240714</v>
      </c>
      <c r="O14" s="3">
        <v>164.9047547120679</v>
      </c>
    </row>
    <row r="15" spans="1:15" x14ac:dyDescent="0.25">
      <c r="B15" t="s">
        <v>37</v>
      </c>
      <c r="D15" t="s">
        <v>22</v>
      </c>
      <c r="F15" t="s">
        <v>17</v>
      </c>
      <c r="G15">
        <v>550</v>
      </c>
      <c r="H15">
        <v>550</v>
      </c>
      <c r="I15" t="s">
        <v>18</v>
      </c>
      <c r="J15" s="2">
        <v>35.880274947154341</v>
      </c>
      <c r="K15" s="3">
        <v>65.236863540280623</v>
      </c>
      <c r="L15" s="2">
        <v>0</v>
      </c>
      <c r="M15" s="3">
        <v>0</v>
      </c>
      <c r="N15" s="2">
        <v>35.880274947154341</v>
      </c>
      <c r="O15" s="3">
        <v>65.236863540280623</v>
      </c>
    </row>
    <row r="16" spans="1:15" x14ac:dyDescent="0.25">
      <c r="B16" t="s">
        <v>38</v>
      </c>
      <c r="D16" t="s">
        <v>22</v>
      </c>
      <c r="F16" t="s">
        <v>17</v>
      </c>
      <c r="G16">
        <v>300</v>
      </c>
      <c r="H16">
        <v>300</v>
      </c>
      <c r="I16" t="s">
        <v>18</v>
      </c>
      <c r="J16" s="2">
        <v>48.519668577846467</v>
      </c>
      <c r="K16" s="3">
        <v>161.73222859282151</v>
      </c>
      <c r="L16" s="2">
        <v>0</v>
      </c>
      <c r="M16" s="3">
        <v>0</v>
      </c>
      <c r="N16" s="2">
        <v>48.519668577846467</v>
      </c>
      <c r="O16" s="3">
        <v>161.73222859282151</v>
      </c>
    </row>
    <row r="17" spans="2:15" x14ac:dyDescent="0.25">
      <c r="B17" t="s">
        <v>39</v>
      </c>
      <c r="D17" t="s">
        <v>16</v>
      </c>
      <c r="F17" t="s">
        <v>17</v>
      </c>
      <c r="G17">
        <v>600</v>
      </c>
      <c r="H17">
        <v>600</v>
      </c>
      <c r="I17" t="s">
        <v>18</v>
      </c>
      <c r="J17" s="2">
        <v>393.30420898791141</v>
      </c>
      <c r="K17" s="3">
        <v>655.50701497985222</v>
      </c>
      <c r="L17" s="2">
        <v>0</v>
      </c>
      <c r="M17" s="3">
        <v>0</v>
      </c>
      <c r="N17" s="2">
        <v>393.30420898791141</v>
      </c>
      <c r="O17" s="3">
        <v>655.50701497985222</v>
      </c>
    </row>
    <row r="18" spans="2:15" x14ac:dyDescent="0.25">
      <c r="B18" t="s">
        <v>40</v>
      </c>
      <c r="D18" t="s">
        <v>22</v>
      </c>
      <c r="F18" t="s">
        <v>17</v>
      </c>
      <c r="G18">
        <v>250</v>
      </c>
      <c r="H18">
        <v>250</v>
      </c>
      <c r="I18" t="s">
        <v>18</v>
      </c>
      <c r="J18" s="2">
        <v>31.637012048278269</v>
      </c>
      <c r="K18" s="3">
        <v>126.5480481931131</v>
      </c>
      <c r="L18" s="2">
        <v>0</v>
      </c>
      <c r="M18" s="3">
        <v>0</v>
      </c>
      <c r="N18" s="2">
        <v>31.637012048278269</v>
      </c>
      <c r="O18" s="3">
        <v>126.5480481931131</v>
      </c>
    </row>
    <row r="19" spans="2:15" x14ac:dyDescent="0.25">
      <c r="B19" t="s">
        <v>41</v>
      </c>
      <c r="D19" t="s">
        <v>16</v>
      </c>
      <c r="F19" t="s">
        <v>17</v>
      </c>
      <c r="G19">
        <v>200</v>
      </c>
      <c r="H19">
        <v>200</v>
      </c>
      <c r="I19" t="s">
        <v>18</v>
      </c>
      <c r="J19" s="2">
        <v>142.92468641615571</v>
      </c>
      <c r="K19" s="3">
        <v>714.62343208077868</v>
      </c>
      <c r="L19" s="2">
        <v>0</v>
      </c>
      <c r="M19" s="3">
        <v>0</v>
      </c>
      <c r="N19" s="2">
        <v>142.92468641615571</v>
      </c>
      <c r="O19" s="3">
        <v>714.62343208077868</v>
      </c>
    </row>
    <row r="20" spans="2:15" x14ac:dyDescent="0.25">
      <c r="B20" t="s">
        <v>42</v>
      </c>
      <c r="D20" t="s">
        <v>20</v>
      </c>
      <c r="F20" t="s">
        <v>24</v>
      </c>
      <c r="G20">
        <v>176.6</v>
      </c>
      <c r="H20">
        <v>176.6</v>
      </c>
      <c r="I20" t="s">
        <v>33</v>
      </c>
      <c r="J20" s="2">
        <v>12.683419126384299</v>
      </c>
      <c r="K20" s="3">
        <v>71.820040353251969</v>
      </c>
      <c r="L20" s="2">
        <v>188.95400000000001</v>
      </c>
      <c r="M20" s="3">
        <v>1069.9546998867499</v>
      </c>
      <c r="N20" s="2">
        <v>201.63741912638429</v>
      </c>
      <c r="O20" s="3">
        <v>1141.7747402400021</v>
      </c>
    </row>
    <row r="21" spans="2:15" x14ac:dyDescent="0.25">
      <c r="B21" t="s">
        <v>43</v>
      </c>
      <c r="D21" t="s">
        <v>22</v>
      </c>
      <c r="F21" t="s">
        <v>24</v>
      </c>
      <c r="G21">
        <v>200</v>
      </c>
      <c r="H21">
        <v>200</v>
      </c>
      <c r="I21" t="s">
        <v>33</v>
      </c>
      <c r="J21" s="2">
        <v>35.153825573686397</v>
      </c>
      <c r="K21" s="3">
        <v>175.76912786843201</v>
      </c>
      <c r="L21" s="2">
        <v>147.92400000000001</v>
      </c>
      <c r="M21" s="3">
        <v>739.61999999999989</v>
      </c>
      <c r="N21" s="2">
        <v>183.0778255736864</v>
      </c>
      <c r="O21" s="3">
        <v>915.38912786843184</v>
      </c>
    </row>
    <row r="22" spans="2:15" x14ac:dyDescent="0.25">
      <c r="B22" t="s">
        <v>44</v>
      </c>
      <c r="D22" t="s">
        <v>20</v>
      </c>
      <c r="F22" t="s">
        <v>24</v>
      </c>
      <c r="G22">
        <v>250</v>
      </c>
      <c r="H22">
        <v>250</v>
      </c>
      <c r="I22" t="s">
        <v>18</v>
      </c>
      <c r="J22" s="2">
        <v>88.92953172099827</v>
      </c>
      <c r="K22" s="3">
        <v>355.71812688399308</v>
      </c>
      <c r="L22" s="2">
        <v>106.22199999999999</v>
      </c>
      <c r="M22" s="3">
        <v>424.88799999999998</v>
      </c>
      <c r="N22" s="2">
        <v>195.15153172099829</v>
      </c>
      <c r="O22" s="3">
        <v>780.60612688399306</v>
      </c>
    </row>
    <row r="23" spans="2:15" x14ac:dyDescent="0.25">
      <c r="B23" t="s">
        <v>45</v>
      </c>
      <c r="D23" t="s">
        <v>22</v>
      </c>
      <c r="F23" t="s">
        <v>24</v>
      </c>
      <c r="G23">
        <v>300</v>
      </c>
      <c r="H23">
        <v>300</v>
      </c>
      <c r="I23" t="s">
        <v>33</v>
      </c>
      <c r="J23" s="2">
        <v>25.15843966066188</v>
      </c>
      <c r="K23" s="3">
        <v>83.861465535539608</v>
      </c>
      <c r="L23" s="2">
        <v>223.12799999999999</v>
      </c>
      <c r="M23" s="3">
        <v>743.7600000000001</v>
      </c>
      <c r="N23" s="2">
        <v>248.2864396606619</v>
      </c>
      <c r="O23" s="3">
        <v>827.62146553553976</v>
      </c>
    </row>
    <row r="24" spans="2:15" x14ac:dyDescent="0.25">
      <c r="B24" t="s">
        <v>46</v>
      </c>
      <c r="D24" t="s">
        <v>47</v>
      </c>
      <c r="F24" t="s">
        <v>24</v>
      </c>
      <c r="G24">
        <v>175</v>
      </c>
      <c r="H24">
        <v>175</v>
      </c>
      <c r="I24" t="s">
        <v>18</v>
      </c>
      <c r="J24" s="2">
        <v>121.65268884382129</v>
      </c>
      <c r="K24" s="3">
        <v>695.15822196469287</v>
      </c>
      <c r="L24" s="2">
        <v>67.523999999999987</v>
      </c>
      <c r="M24" s="3">
        <v>385.85142857142853</v>
      </c>
      <c r="N24" s="2">
        <v>189.17668884382121</v>
      </c>
      <c r="O24" s="3">
        <v>1081.0096505361209</v>
      </c>
    </row>
    <row r="25" spans="2:15" x14ac:dyDescent="0.25">
      <c r="B25" t="s">
        <v>48</v>
      </c>
      <c r="D25" t="s">
        <v>22</v>
      </c>
      <c r="F25" t="s">
        <v>24</v>
      </c>
      <c r="G25">
        <v>105.8</v>
      </c>
      <c r="H25">
        <v>105.8</v>
      </c>
      <c r="I25" t="s">
        <v>18</v>
      </c>
      <c r="J25" s="2">
        <v>46.467927867756359</v>
      </c>
      <c r="K25" s="3">
        <v>439.20536737009792</v>
      </c>
      <c r="L25" s="2">
        <v>37.204000000000001</v>
      </c>
      <c r="M25" s="3">
        <v>351.64461247637053</v>
      </c>
      <c r="N25" s="2">
        <v>83.671927867756352</v>
      </c>
      <c r="O25" s="3">
        <v>790.84997984646839</v>
      </c>
    </row>
    <row r="26" spans="2:15" x14ac:dyDescent="0.25">
      <c r="B26" t="s">
        <v>49</v>
      </c>
      <c r="D26" t="s">
        <v>22</v>
      </c>
      <c r="F26" t="s">
        <v>24</v>
      </c>
      <c r="G26">
        <v>105.8</v>
      </c>
      <c r="H26">
        <v>105.8</v>
      </c>
      <c r="I26" t="s">
        <v>18</v>
      </c>
      <c r="J26" s="2">
        <v>3.1473114410937399</v>
      </c>
      <c r="K26" s="3">
        <v>29.747745189921929</v>
      </c>
      <c r="L26" s="2">
        <v>36.338000000000001</v>
      </c>
      <c r="M26" s="3">
        <v>343.45935727788282</v>
      </c>
      <c r="N26" s="2">
        <v>39.485311441093742</v>
      </c>
      <c r="O26" s="3">
        <v>373.20710246780482</v>
      </c>
    </row>
    <row r="27" spans="2:15" x14ac:dyDescent="0.25">
      <c r="B27" t="s">
        <v>50</v>
      </c>
      <c r="D27" t="s">
        <v>22</v>
      </c>
      <c r="F27" t="s">
        <v>17</v>
      </c>
      <c r="G27">
        <v>200</v>
      </c>
      <c r="H27">
        <v>200</v>
      </c>
      <c r="I27" t="s">
        <v>33</v>
      </c>
      <c r="J27" s="2">
        <v>2.0951953536253729</v>
      </c>
      <c r="K27" s="3">
        <v>10.475976768126859</v>
      </c>
      <c r="L27" s="2">
        <v>0</v>
      </c>
      <c r="M27" s="3">
        <v>0</v>
      </c>
      <c r="N27" s="2">
        <v>2.0951953536253729</v>
      </c>
      <c r="O27" s="3">
        <v>10.475976768126859</v>
      </c>
    </row>
    <row r="28" spans="2:15" x14ac:dyDescent="0.25">
      <c r="B28" t="s">
        <v>51</v>
      </c>
      <c r="D28" t="s">
        <v>16</v>
      </c>
      <c r="F28" t="s">
        <v>17</v>
      </c>
      <c r="G28">
        <v>150</v>
      </c>
      <c r="H28">
        <v>150</v>
      </c>
      <c r="I28" t="s">
        <v>18</v>
      </c>
      <c r="J28" s="2">
        <v>46.519012380280728</v>
      </c>
      <c r="K28" s="3">
        <v>310.12674920187158</v>
      </c>
      <c r="L28" s="2">
        <v>0</v>
      </c>
      <c r="M28" s="3">
        <v>0</v>
      </c>
      <c r="N28" s="2">
        <v>46.519012380280728</v>
      </c>
      <c r="O28" s="3">
        <v>310.12674920187158</v>
      </c>
    </row>
    <row r="29" spans="2:15" x14ac:dyDescent="0.25">
      <c r="B29" t="s">
        <v>52</v>
      </c>
      <c r="D29" t="s">
        <v>16</v>
      </c>
      <c r="F29" t="s">
        <v>24</v>
      </c>
      <c r="G29">
        <v>160</v>
      </c>
      <c r="H29">
        <v>160</v>
      </c>
      <c r="I29" t="s">
        <v>18</v>
      </c>
      <c r="J29" s="2">
        <v>32.131614262560781</v>
      </c>
      <c r="K29" s="3">
        <v>200.8225891410049</v>
      </c>
      <c r="L29" s="2">
        <v>0</v>
      </c>
      <c r="M29" s="3">
        <v>0</v>
      </c>
      <c r="N29" s="2">
        <v>32.131614262560781</v>
      </c>
      <c r="O29" s="3">
        <v>200.8225891410049</v>
      </c>
    </row>
    <row r="30" spans="2:15" x14ac:dyDescent="0.25">
      <c r="B30" t="s">
        <v>53</v>
      </c>
      <c r="D30" t="s">
        <v>20</v>
      </c>
      <c r="F30" t="s">
        <v>17</v>
      </c>
      <c r="G30">
        <v>120</v>
      </c>
      <c r="H30">
        <v>120</v>
      </c>
      <c r="I30" t="s">
        <v>18</v>
      </c>
      <c r="J30" s="2">
        <v>129.5016044033209</v>
      </c>
      <c r="K30" s="3">
        <v>1079.180036694341</v>
      </c>
      <c r="L30" s="2">
        <v>0</v>
      </c>
      <c r="M30" s="3">
        <v>0</v>
      </c>
      <c r="N30" s="2">
        <v>129.5016044033209</v>
      </c>
      <c r="O30" s="3">
        <v>1079.180036694341</v>
      </c>
    </row>
    <row r="31" spans="2:15" x14ac:dyDescent="0.25">
      <c r="B31" t="s">
        <v>54</v>
      </c>
      <c r="D31" t="s">
        <v>47</v>
      </c>
      <c r="F31" t="s">
        <v>24</v>
      </c>
      <c r="G31">
        <v>180</v>
      </c>
      <c r="H31">
        <v>180</v>
      </c>
      <c r="I31" t="s">
        <v>29</v>
      </c>
      <c r="J31" s="2">
        <v>7.9974238704206799</v>
      </c>
      <c r="K31" s="3">
        <v>44.430132613448222</v>
      </c>
      <c r="L31" s="2">
        <v>0</v>
      </c>
      <c r="M31" s="3">
        <v>0</v>
      </c>
      <c r="N31" s="2">
        <v>7.9974238704206799</v>
      </c>
      <c r="O31" s="3">
        <v>44.430132613448222</v>
      </c>
    </row>
    <row r="32" spans="2:15" x14ac:dyDescent="0.25">
      <c r="B32" t="s">
        <v>55</v>
      </c>
      <c r="D32" t="s">
        <v>16</v>
      </c>
      <c r="F32" t="s">
        <v>24</v>
      </c>
      <c r="G32">
        <v>105</v>
      </c>
      <c r="H32">
        <v>105</v>
      </c>
      <c r="I32" t="s">
        <v>18</v>
      </c>
      <c r="J32" s="2">
        <v>48.527246845841091</v>
      </c>
      <c r="K32" s="3">
        <v>462.16425567467712</v>
      </c>
      <c r="L32" s="2">
        <v>0</v>
      </c>
      <c r="M32" s="3">
        <v>0</v>
      </c>
      <c r="N32" s="2">
        <v>48.527246845841091</v>
      </c>
      <c r="O32" s="3">
        <v>462.16425567467712</v>
      </c>
    </row>
    <row r="33" spans="2:15" x14ac:dyDescent="0.25">
      <c r="B33" t="s">
        <v>56</v>
      </c>
      <c r="D33" t="s">
        <v>22</v>
      </c>
      <c r="F33" t="s">
        <v>24</v>
      </c>
      <c r="G33">
        <v>500</v>
      </c>
      <c r="H33">
        <v>500</v>
      </c>
      <c r="I33" t="s">
        <v>18</v>
      </c>
      <c r="J33" s="2">
        <v>0.63210618534431029</v>
      </c>
      <c r="K33" s="3">
        <v>1.264212370688621</v>
      </c>
      <c r="L33" s="2">
        <v>130.239</v>
      </c>
      <c r="M33" s="3">
        <v>260.47800000000001</v>
      </c>
      <c r="N33" s="2">
        <v>130.8711061853443</v>
      </c>
      <c r="O33" s="3">
        <v>261.74221237068849</v>
      </c>
    </row>
    <row r="34" spans="2:15" x14ac:dyDescent="0.25">
      <c r="B34" t="s">
        <v>57</v>
      </c>
      <c r="D34" t="s">
        <v>16</v>
      </c>
      <c r="F34" t="s">
        <v>24</v>
      </c>
      <c r="G34">
        <v>100</v>
      </c>
      <c r="H34">
        <v>100</v>
      </c>
      <c r="I34" t="s">
        <v>18</v>
      </c>
      <c r="J34" s="2">
        <v>4.9146050278868971</v>
      </c>
      <c r="K34" s="3">
        <v>49.146050278868977</v>
      </c>
      <c r="L34" s="2">
        <v>0</v>
      </c>
      <c r="M34" s="3">
        <v>0</v>
      </c>
      <c r="N34" s="2">
        <v>4.9146050278868971</v>
      </c>
      <c r="O34" s="3">
        <v>49.146050278868977</v>
      </c>
    </row>
    <row r="35" spans="2:15" x14ac:dyDescent="0.25">
      <c r="B35" t="s">
        <v>58</v>
      </c>
      <c r="D35" t="s">
        <v>16</v>
      </c>
      <c r="F35" t="s">
        <v>24</v>
      </c>
      <c r="G35">
        <v>500</v>
      </c>
      <c r="H35">
        <v>500</v>
      </c>
      <c r="I35" t="s">
        <v>18</v>
      </c>
      <c r="J35" s="2">
        <v>327.75901115291992</v>
      </c>
      <c r="K35" s="3">
        <v>655.51802230583974</v>
      </c>
      <c r="L35" s="2">
        <v>103.25700000000001</v>
      </c>
      <c r="M35" s="3">
        <v>206.51400000000001</v>
      </c>
      <c r="N35" s="2">
        <v>431.01601115291987</v>
      </c>
      <c r="O35" s="3">
        <v>862.03202230583975</v>
      </c>
    </row>
    <row r="36" spans="2:15" x14ac:dyDescent="0.25">
      <c r="B36" t="s">
        <v>59</v>
      </c>
      <c r="D36" t="s">
        <v>16</v>
      </c>
      <c r="F36" t="s">
        <v>24</v>
      </c>
      <c r="G36">
        <v>500</v>
      </c>
      <c r="H36">
        <v>500</v>
      </c>
      <c r="I36" t="s">
        <v>18</v>
      </c>
      <c r="J36" s="2">
        <v>327.89455696682899</v>
      </c>
      <c r="K36" s="3">
        <v>655.78911393365809</v>
      </c>
      <c r="L36" s="2">
        <v>103.25700000000001</v>
      </c>
      <c r="M36" s="3">
        <v>206.51400000000001</v>
      </c>
      <c r="N36" s="2">
        <v>431.15155696682899</v>
      </c>
      <c r="O36" s="3">
        <v>862.3031139336581</v>
      </c>
    </row>
    <row r="37" spans="2:15" x14ac:dyDescent="0.25">
      <c r="B37" t="s">
        <v>60</v>
      </c>
      <c r="D37" t="s">
        <v>16</v>
      </c>
      <c r="F37" t="s">
        <v>24</v>
      </c>
      <c r="G37">
        <v>162</v>
      </c>
      <c r="H37">
        <v>162</v>
      </c>
      <c r="I37" t="s">
        <v>18</v>
      </c>
      <c r="J37" s="2">
        <v>14.931638585951459</v>
      </c>
      <c r="K37" s="3">
        <v>92.17060855525591</v>
      </c>
      <c r="L37" s="2">
        <v>52.689</v>
      </c>
      <c r="M37" s="3">
        <v>325.2407407407407</v>
      </c>
      <c r="N37" s="2">
        <v>67.620638585951454</v>
      </c>
      <c r="O37" s="3">
        <v>417.41134929599662</v>
      </c>
    </row>
    <row r="38" spans="2:15" x14ac:dyDescent="0.25">
      <c r="B38" t="s">
        <v>61</v>
      </c>
      <c r="D38" t="s">
        <v>16</v>
      </c>
      <c r="F38" t="s">
        <v>24</v>
      </c>
      <c r="G38">
        <v>120</v>
      </c>
      <c r="H38">
        <v>120</v>
      </c>
      <c r="I38" t="s">
        <v>18</v>
      </c>
      <c r="J38" s="2">
        <v>5.6551074232565242</v>
      </c>
      <c r="K38" s="3">
        <v>47.125895193804368</v>
      </c>
      <c r="L38" s="2">
        <v>0</v>
      </c>
      <c r="M38" s="3">
        <v>0</v>
      </c>
      <c r="N38" s="2">
        <v>5.6551074232565242</v>
      </c>
      <c r="O38" s="3">
        <v>47.125895193804368</v>
      </c>
    </row>
    <row r="39" spans="2:15" x14ac:dyDescent="0.25">
      <c r="B39" t="s">
        <v>62</v>
      </c>
      <c r="D39" t="s">
        <v>20</v>
      </c>
      <c r="F39" t="s">
        <v>24</v>
      </c>
      <c r="G39">
        <v>150</v>
      </c>
      <c r="H39">
        <v>150</v>
      </c>
      <c r="I39" t="s">
        <v>18</v>
      </c>
      <c r="J39" s="2">
        <v>71.530370049362048</v>
      </c>
      <c r="K39" s="3">
        <v>476.86913366241367</v>
      </c>
      <c r="L39" s="2">
        <v>38.756</v>
      </c>
      <c r="M39" s="3">
        <v>258.37333333333328</v>
      </c>
      <c r="N39" s="2">
        <v>110.28637004936201</v>
      </c>
      <c r="O39" s="3">
        <v>735.24246699574701</v>
      </c>
    </row>
    <row r="40" spans="2:15" x14ac:dyDescent="0.25">
      <c r="B40" t="s">
        <v>63</v>
      </c>
      <c r="D40" t="s">
        <v>16</v>
      </c>
      <c r="F40" t="s">
        <v>24</v>
      </c>
      <c r="G40">
        <v>200</v>
      </c>
      <c r="H40">
        <v>200</v>
      </c>
      <c r="I40" t="s">
        <v>18</v>
      </c>
      <c r="J40" s="2">
        <v>38.988</v>
      </c>
      <c r="K40" s="3">
        <v>194.94</v>
      </c>
      <c r="L40" s="2">
        <v>96.902000000000001</v>
      </c>
      <c r="M40" s="3">
        <v>484.51</v>
      </c>
      <c r="N40" s="2">
        <v>135.88999999999999</v>
      </c>
      <c r="O40" s="3">
        <v>679.45</v>
      </c>
    </row>
    <row r="41" spans="2:15" x14ac:dyDescent="0.25">
      <c r="B41" t="s">
        <v>64</v>
      </c>
      <c r="C41" t="s">
        <v>65</v>
      </c>
      <c r="D41" t="s">
        <v>22</v>
      </c>
      <c r="F41" t="s">
        <v>24</v>
      </c>
      <c r="G41">
        <v>150</v>
      </c>
      <c r="H41">
        <v>150</v>
      </c>
      <c r="I41" t="s">
        <v>29</v>
      </c>
      <c r="J41" s="2">
        <v>34.250588755558617</v>
      </c>
      <c r="K41" s="3">
        <v>228.3372583703908</v>
      </c>
      <c r="L41" s="2">
        <v>50.759999999999977</v>
      </c>
      <c r="M41" s="3">
        <v>338.39999999999992</v>
      </c>
      <c r="N41" s="2">
        <v>85.010588755558615</v>
      </c>
      <c r="O41" s="3">
        <v>566.73725837039069</v>
      </c>
    </row>
    <row r="42" spans="2:15" x14ac:dyDescent="0.25">
      <c r="B42" t="s">
        <v>66</v>
      </c>
      <c r="D42" t="s">
        <v>16</v>
      </c>
      <c r="F42" t="s">
        <v>24</v>
      </c>
      <c r="G42">
        <v>180</v>
      </c>
      <c r="H42">
        <v>180</v>
      </c>
      <c r="I42" t="s">
        <v>18</v>
      </c>
      <c r="J42" s="2">
        <v>129.05462238966979</v>
      </c>
      <c r="K42" s="3">
        <v>716.9701243870544</v>
      </c>
      <c r="L42" s="2">
        <v>81.000999999999991</v>
      </c>
      <c r="M42" s="3">
        <v>450.00555555555547</v>
      </c>
      <c r="N42" s="2">
        <v>210.05562238966979</v>
      </c>
      <c r="O42" s="3">
        <v>1166.97567994261</v>
      </c>
    </row>
    <row r="43" spans="2:15" x14ac:dyDescent="0.25">
      <c r="B43" t="s">
        <v>67</v>
      </c>
      <c r="D43" t="s">
        <v>20</v>
      </c>
      <c r="F43" t="s">
        <v>17</v>
      </c>
      <c r="G43">
        <v>150</v>
      </c>
      <c r="H43">
        <v>150</v>
      </c>
      <c r="I43" t="s">
        <v>18</v>
      </c>
      <c r="J43" s="2">
        <v>18.11350176074621</v>
      </c>
      <c r="K43" s="3">
        <v>120.75667840497471</v>
      </c>
      <c r="L43" s="2">
        <v>0</v>
      </c>
      <c r="M43" s="3">
        <v>0</v>
      </c>
      <c r="N43" s="2">
        <v>18.11350176074621</v>
      </c>
      <c r="O43" s="3">
        <v>120.75667840497471</v>
      </c>
    </row>
    <row r="44" spans="2:15" x14ac:dyDescent="0.25">
      <c r="B44" t="s">
        <v>68</v>
      </c>
      <c r="D44" t="s">
        <v>22</v>
      </c>
      <c r="F44" t="s">
        <v>24</v>
      </c>
      <c r="G44">
        <v>100</v>
      </c>
      <c r="H44">
        <v>100</v>
      </c>
      <c r="I44" t="s">
        <v>18</v>
      </c>
      <c r="J44" s="2">
        <v>25.45384757831652</v>
      </c>
      <c r="K44" s="3">
        <v>254.53847578316521</v>
      </c>
      <c r="L44" s="2">
        <v>0</v>
      </c>
      <c r="M44" s="3">
        <v>0</v>
      </c>
      <c r="N44" s="2">
        <v>25.45384757831652</v>
      </c>
      <c r="O44" s="3">
        <v>254.53847578316521</v>
      </c>
    </row>
    <row r="45" spans="2:15" x14ac:dyDescent="0.25">
      <c r="B45" t="s">
        <v>69</v>
      </c>
      <c r="D45" t="s">
        <v>22</v>
      </c>
      <c r="F45" t="s">
        <v>17</v>
      </c>
      <c r="G45">
        <v>197.5</v>
      </c>
      <c r="H45">
        <v>197.5</v>
      </c>
      <c r="I45" t="s">
        <v>18</v>
      </c>
      <c r="J45" s="2">
        <v>16.39016945680774</v>
      </c>
      <c r="K45" s="3">
        <v>82.988199781305013</v>
      </c>
      <c r="L45" s="2">
        <v>0</v>
      </c>
      <c r="M45" s="3">
        <v>0</v>
      </c>
      <c r="N45" s="2">
        <v>16.39016945680774</v>
      </c>
      <c r="O45" s="3">
        <v>82.988199781305013</v>
      </c>
    </row>
    <row r="46" spans="2:15" x14ac:dyDescent="0.25">
      <c r="B46" t="s">
        <v>70</v>
      </c>
      <c r="D46" t="s">
        <v>20</v>
      </c>
      <c r="F46" t="s">
        <v>17</v>
      </c>
      <c r="G46">
        <v>125</v>
      </c>
      <c r="H46">
        <v>125</v>
      </c>
      <c r="I46" t="s">
        <v>18</v>
      </c>
      <c r="J46" s="2">
        <v>62.119875698617108</v>
      </c>
      <c r="K46" s="3">
        <v>496.95900558893692</v>
      </c>
      <c r="L46" s="2">
        <v>0</v>
      </c>
      <c r="M46" s="3">
        <v>0</v>
      </c>
      <c r="N46" s="2">
        <v>62.119875698617108</v>
      </c>
      <c r="O46" s="3">
        <v>496.95900558893692</v>
      </c>
    </row>
    <row r="47" spans="2:15" x14ac:dyDescent="0.25">
      <c r="B47" t="s">
        <v>71</v>
      </c>
      <c r="D47" t="s">
        <v>20</v>
      </c>
      <c r="F47" t="s">
        <v>17</v>
      </c>
      <c r="G47">
        <v>110</v>
      </c>
      <c r="H47">
        <v>110</v>
      </c>
      <c r="I47" t="s">
        <v>18</v>
      </c>
      <c r="J47" s="2">
        <v>27.12552073429179</v>
      </c>
      <c r="K47" s="3">
        <v>246.5956430390163</v>
      </c>
      <c r="L47" s="2">
        <v>0</v>
      </c>
      <c r="M47" s="3">
        <v>0</v>
      </c>
      <c r="N47" s="2">
        <v>27.12552073429179</v>
      </c>
      <c r="O47" s="3">
        <v>246.5956430390163</v>
      </c>
    </row>
    <row r="48" spans="2:15" x14ac:dyDescent="0.25">
      <c r="B48" t="s">
        <v>72</v>
      </c>
      <c r="D48" t="s">
        <v>16</v>
      </c>
      <c r="F48" t="s">
        <v>17</v>
      </c>
      <c r="G48">
        <v>200</v>
      </c>
      <c r="H48">
        <v>200</v>
      </c>
      <c r="I48" t="s">
        <v>18</v>
      </c>
      <c r="J48" s="2">
        <v>68.425489157820621</v>
      </c>
      <c r="K48" s="3">
        <v>342.12744578910309</v>
      </c>
      <c r="L48" s="2">
        <v>0</v>
      </c>
      <c r="M48" s="3">
        <v>0</v>
      </c>
      <c r="N48" s="2">
        <v>68.425489157820621</v>
      </c>
      <c r="O48" s="3">
        <v>342.12744578910309</v>
      </c>
    </row>
    <row r="49" spans="2:15" x14ac:dyDescent="0.25">
      <c r="B49" t="s">
        <v>73</v>
      </c>
      <c r="D49" t="s">
        <v>47</v>
      </c>
      <c r="F49" t="s">
        <v>24</v>
      </c>
      <c r="G49">
        <v>170</v>
      </c>
      <c r="H49">
        <v>170</v>
      </c>
      <c r="I49" t="s">
        <v>18</v>
      </c>
      <c r="J49" s="2">
        <v>7.499736634845668</v>
      </c>
      <c r="K49" s="3">
        <v>44.116097852033342</v>
      </c>
      <c r="L49" s="2">
        <v>0</v>
      </c>
      <c r="M49" s="3">
        <v>0</v>
      </c>
      <c r="N49" s="2">
        <v>7.499736634845668</v>
      </c>
      <c r="O49" s="3">
        <v>44.116097852033342</v>
      </c>
    </row>
    <row r="50" spans="2:15" x14ac:dyDescent="0.25">
      <c r="B50" t="s">
        <v>74</v>
      </c>
      <c r="D50" t="s">
        <v>22</v>
      </c>
      <c r="F50" t="s">
        <v>17</v>
      </c>
      <c r="G50">
        <v>170</v>
      </c>
      <c r="H50">
        <v>170</v>
      </c>
      <c r="I50" t="s">
        <v>18</v>
      </c>
      <c r="J50" s="2">
        <v>30.586006092358371</v>
      </c>
      <c r="K50" s="3">
        <v>179.9176828962257</v>
      </c>
      <c r="L50" s="2">
        <v>0</v>
      </c>
      <c r="M50" s="3">
        <v>0</v>
      </c>
      <c r="N50" s="2">
        <v>30.586006092358371</v>
      </c>
      <c r="O50" s="3">
        <v>179.9176828962257</v>
      </c>
    </row>
    <row r="51" spans="2:15" x14ac:dyDescent="0.25">
      <c r="B51" t="s">
        <v>75</v>
      </c>
      <c r="D51" t="s">
        <v>20</v>
      </c>
      <c r="F51" t="s">
        <v>24</v>
      </c>
      <c r="G51">
        <v>100</v>
      </c>
      <c r="H51">
        <v>100</v>
      </c>
      <c r="I51" t="s">
        <v>18</v>
      </c>
      <c r="J51" s="2">
        <v>3.9748929265226831</v>
      </c>
      <c r="K51" s="3">
        <v>39.748929265226828</v>
      </c>
      <c r="L51" s="2">
        <v>21.687999999999999</v>
      </c>
      <c r="M51" s="3">
        <v>216.88</v>
      </c>
      <c r="N51" s="2">
        <v>25.66289292652268</v>
      </c>
      <c r="O51" s="3">
        <v>256.62892926522682</v>
      </c>
    </row>
    <row r="52" spans="2:15" x14ac:dyDescent="0.25">
      <c r="B52" t="s">
        <v>76</v>
      </c>
      <c r="D52" t="s">
        <v>20</v>
      </c>
      <c r="F52" t="s">
        <v>17</v>
      </c>
      <c r="G52">
        <v>100</v>
      </c>
      <c r="H52">
        <v>100</v>
      </c>
      <c r="I52" t="s">
        <v>29</v>
      </c>
      <c r="J52" s="2">
        <v>22.18475193768111</v>
      </c>
      <c r="K52" s="3">
        <v>221.84751937681111</v>
      </c>
      <c r="L52" s="2">
        <v>0</v>
      </c>
      <c r="M52" s="3">
        <v>0</v>
      </c>
      <c r="N52" s="2">
        <v>22.18475193768111</v>
      </c>
      <c r="O52" s="3">
        <v>221.84751937681111</v>
      </c>
    </row>
    <row r="53" spans="2:15" x14ac:dyDescent="0.25">
      <c r="B53" t="s">
        <v>77</v>
      </c>
      <c r="D53" t="s">
        <v>22</v>
      </c>
      <c r="F53" t="s">
        <v>24</v>
      </c>
      <c r="G53">
        <v>150</v>
      </c>
      <c r="H53">
        <v>150</v>
      </c>
      <c r="I53" t="s">
        <v>29</v>
      </c>
      <c r="J53" s="2">
        <v>7.5108783443277121</v>
      </c>
      <c r="K53" s="3">
        <v>50.072522295518077</v>
      </c>
      <c r="L53" s="2">
        <v>58.154000000000003</v>
      </c>
      <c r="M53" s="3">
        <v>387.69333333333333</v>
      </c>
      <c r="N53" s="2">
        <v>65.664878344327718</v>
      </c>
      <c r="O53" s="3">
        <v>437.7658556288514</v>
      </c>
    </row>
    <row r="54" spans="2:15" x14ac:dyDescent="0.25">
      <c r="B54" t="s">
        <v>78</v>
      </c>
      <c r="D54" t="s">
        <v>22</v>
      </c>
      <c r="F54" t="s">
        <v>24</v>
      </c>
      <c r="G54">
        <v>100</v>
      </c>
      <c r="H54">
        <v>100</v>
      </c>
      <c r="I54" t="s">
        <v>29</v>
      </c>
      <c r="J54" s="2">
        <v>3.4841535711442302</v>
      </c>
      <c r="K54" s="3">
        <v>34.841535711442297</v>
      </c>
      <c r="L54" s="2">
        <v>91.470000000000041</v>
      </c>
      <c r="M54" s="3">
        <v>914.70000000000039</v>
      </c>
      <c r="N54" s="2">
        <v>94.954153571144275</v>
      </c>
      <c r="O54" s="3">
        <v>949.54153571144263</v>
      </c>
    </row>
    <row r="55" spans="2:15" x14ac:dyDescent="0.25">
      <c r="B55" t="s">
        <v>79</v>
      </c>
      <c r="D55" t="s">
        <v>16</v>
      </c>
      <c r="F55" t="s">
        <v>24</v>
      </c>
      <c r="G55">
        <v>219.79</v>
      </c>
      <c r="H55">
        <v>262.70999999999998</v>
      </c>
      <c r="I55" t="s">
        <v>80</v>
      </c>
      <c r="J55" s="2">
        <v>11.030123911590721</v>
      </c>
      <c r="K55" s="3">
        <v>50.184830572777301</v>
      </c>
      <c r="L55" s="2">
        <v>97.697000000000017</v>
      </c>
      <c r="M55" s="3">
        <v>444.50156968014932</v>
      </c>
      <c r="N55" s="2">
        <v>108.7271239115907</v>
      </c>
      <c r="O55" s="3">
        <v>494.6864002529266</v>
      </c>
    </row>
    <row r="56" spans="2:15" x14ac:dyDescent="0.25">
      <c r="B56" t="s">
        <v>81</v>
      </c>
      <c r="D56" t="s">
        <v>22</v>
      </c>
      <c r="F56" t="s">
        <v>17</v>
      </c>
      <c r="G56">
        <v>130</v>
      </c>
      <c r="H56">
        <v>130</v>
      </c>
      <c r="I56" t="s">
        <v>18</v>
      </c>
      <c r="J56" s="2">
        <v>52.248042597246219</v>
      </c>
      <c r="K56" s="3">
        <v>401.90801997881709</v>
      </c>
      <c r="L56" s="2">
        <v>0</v>
      </c>
      <c r="M56" s="3">
        <v>0</v>
      </c>
      <c r="N56" s="2">
        <v>52.248042597246219</v>
      </c>
      <c r="O56" s="3">
        <v>401.90801997881709</v>
      </c>
    </row>
    <row r="57" spans="2:15" x14ac:dyDescent="0.25">
      <c r="B57" t="s">
        <v>82</v>
      </c>
      <c r="D57" t="s">
        <v>16</v>
      </c>
      <c r="F57" t="s">
        <v>17</v>
      </c>
      <c r="G57">
        <v>100</v>
      </c>
      <c r="H57">
        <v>100</v>
      </c>
      <c r="I57" t="s">
        <v>18</v>
      </c>
      <c r="J57" s="2">
        <v>62.376605117880381</v>
      </c>
      <c r="K57" s="3">
        <v>623.76605117880376</v>
      </c>
      <c r="L57" s="2">
        <v>0</v>
      </c>
      <c r="M57" s="3">
        <v>0</v>
      </c>
      <c r="N57" s="2">
        <v>62.376605117880381</v>
      </c>
      <c r="O57" s="3">
        <v>623.76605117880376</v>
      </c>
    </row>
    <row r="58" spans="2:15" x14ac:dyDescent="0.25">
      <c r="B58" t="s">
        <v>83</v>
      </c>
      <c r="D58" t="s">
        <v>22</v>
      </c>
      <c r="F58" t="s">
        <v>24</v>
      </c>
      <c r="G58">
        <v>130</v>
      </c>
      <c r="H58">
        <v>130</v>
      </c>
      <c r="I58" t="s">
        <v>29</v>
      </c>
      <c r="J58" s="2">
        <v>49.108428475199091</v>
      </c>
      <c r="K58" s="3">
        <v>377.7571421169161</v>
      </c>
      <c r="L58" s="2">
        <v>0</v>
      </c>
      <c r="M58" s="3">
        <v>0</v>
      </c>
      <c r="N58" s="2">
        <v>49.108428475199091</v>
      </c>
      <c r="O58" s="3">
        <v>377.7571421169161</v>
      </c>
    </row>
    <row r="59" spans="2:15" x14ac:dyDescent="0.25">
      <c r="B59" t="s">
        <v>84</v>
      </c>
      <c r="D59" t="s">
        <v>16</v>
      </c>
      <c r="F59" t="s">
        <v>24</v>
      </c>
      <c r="G59">
        <v>80</v>
      </c>
      <c r="H59">
        <v>80</v>
      </c>
      <c r="I59" t="s">
        <v>29</v>
      </c>
      <c r="J59" s="2">
        <v>24.703959144264601</v>
      </c>
      <c r="K59" s="3">
        <v>308.79948930330761</v>
      </c>
      <c r="L59" s="2">
        <v>0</v>
      </c>
      <c r="M59" s="3">
        <v>0</v>
      </c>
      <c r="N59" s="2">
        <v>24.703959144264601</v>
      </c>
      <c r="O59" s="3">
        <v>308.79948930330761</v>
      </c>
    </row>
    <row r="60" spans="2:15" x14ac:dyDescent="0.25">
      <c r="B60" t="s">
        <v>85</v>
      </c>
      <c r="D60" t="s">
        <v>16</v>
      </c>
      <c r="F60" t="s">
        <v>24</v>
      </c>
      <c r="G60">
        <v>150</v>
      </c>
      <c r="H60">
        <v>150</v>
      </c>
      <c r="I60" t="s">
        <v>29</v>
      </c>
      <c r="J60" s="2">
        <v>41.256442821370847</v>
      </c>
      <c r="K60" s="3">
        <v>275.04295214247242</v>
      </c>
      <c r="L60" s="2">
        <v>0</v>
      </c>
      <c r="M60" s="3">
        <v>0</v>
      </c>
      <c r="N60" s="2">
        <v>41.256442821370847</v>
      </c>
      <c r="O60" s="3">
        <v>275.04295214247242</v>
      </c>
    </row>
    <row r="61" spans="2:15" x14ac:dyDescent="0.25">
      <c r="B61" t="s">
        <v>86</v>
      </c>
      <c r="D61" t="s">
        <v>22</v>
      </c>
      <c r="F61" t="s">
        <v>24</v>
      </c>
      <c r="G61">
        <v>500</v>
      </c>
      <c r="H61">
        <v>500</v>
      </c>
      <c r="I61" t="s">
        <v>33</v>
      </c>
      <c r="J61" s="2">
        <v>66.73620066115204</v>
      </c>
      <c r="K61" s="3">
        <v>133.47240132230411</v>
      </c>
      <c r="L61" s="2">
        <v>371.88799999999998</v>
      </c>
      <c r="M61" s="3">
        <v>743.77600000000007</v>
      </c>
      <c r="N61" s="2">
        <v>438.62420066115209</v>
      </c>
      <c r="O61" s="3">
        <v>877.24840132230418</v>
      </c>
    </row>
    <row r="62" spans="2:15" x14ac:dyDescent="0.25">
      <c r="B62" t="s">
        <v>87</v>
      </c>
      <c r="D62" t="s">
        <v>22</v>
      </c>
      <c r="F62" t="s">
        <v>24</v>
      </c>
      <c r="G62">
        <v>375</v>
      </c>
      <c r="H62">
        <v>375</v>
      </c>
      <c r="I62" t="s">
        <v>18</v>
      </c>
      <c r="J62" s="2">
        <v>112.4680917730207</v>
      </c>
      <c r="K62" s="3">
        <v>299.91491139472168</v>
      </c>
      <c r="L62" s="2">
        <v>234.8</v>
      </c>
      <c r="M62" s="3">
        <v>626.13333333333333</v>
      </c>
      <c r="N62" s="2">
        <v>347.26809177302061</v>
      </c>
      <c r="O62" s="3">
        <v>926.04824472805512</v>
      </c>
    </row>
    <row r="63" spans="2:15" x14ac:dyDescent="0.25">
      <c r="B63" t="s">
        <v>88</v>
      </c>
      <c r="D63" t="s">
        <v>22</v>
      </c>
      <c r="F63" t="s">
        <v>24</v>
      </c>
      <c r="G63">
        <v>375</v>
      </c>
      <c r="H63">
        <v>375</v>
      </c>
      <c r="I63" t="s">
        <v>18</v>
      </c>
      <c r="J63" s="2">
        <v>155.53691747935969</v>
      </c>
      <c r="K63" s="3">
        <v>414.76511327829252</v>
      </c>
      <c r="L63" s="2">
        <v>221.36200000000011</v>
      </c>
      <c r="M63" s="3">
        <v>590.2986666666668</v>
      </c>
      <c r="N63" s="2">
        <v>376.89891747935968</v>
      </c>
      <c r="O63" s="3">
        <v>1005.063779944959</v>
      </c>
    </row>
    <row r="64" spans="2:15" x14ac:dyDescent="0.25">
      <c r="B64" t="s">
        <v>89</v>
      </c>
      <c r="D64" t="s">
        <v>22</v>
      </c>
      <c r="F64" t="s">
        <v>24</v>
      </c>
      <c r="G64">
        <v>375</v>
      </c>
      <c r="H64">
        <v>375</v>
      </c>
      <c r="I64" t="s">
        <v>18</v>
      </c>
      <c r="J64" s="2">
        <v>112.62256693382341</v>
      </c>
      <c r="K64" s="3">
        <v>300.32684515686219</v>
      </c>
      <c r="L64" s="2">
        <v>234.5920000000001</v>
      </c>
      <c r="M64" s="3">
        <v>625.57866666666689</v>
      </c>
      <c r="N64" s="2">
        <v>347.21456693382339</v>
      </c>
      <c r="O64" s="3">
        <v>925.9055118235292</v>
      </c>
    </row>
    <row r="65" spans="2:15" x14ac:dyDescent="0.25">
      <c r="B65" t="s">
        <v>90</v>
      </c>
      <c r="D65" t="s">
        <v>20</v>
      </c>
      <c r="F65" t="s">
        <v>24</v>
      </c>
      <c r="G65">
        <v>150</v>
      </c>
      <c r="H65">
        <v>150</v>
      </c>
      <c r="I65" t="s">
        <v>29</v>
      </c>
      <c r="J65" s="2">
        <v>152.14539026289339</v>
      </c>
      <c r="K65" s="3">
        <v>1014.302601752623</v>
      </c>
      <c r="L65" s="2">
        <v>97.419999999999945</v>
      </c>
      <c r="M65" s="3">
        <v>649.46666666666636</v>
      </c>
      <c r="N65" s="2">
        <v>249.56539026289329</v>
      </c>
      <c r="O65" s="3">
        <v>1663.7692684192889</v>
      </c>
    </row>
    <row r="66" spans="2:15" x14ac:dyDescent="0.25">
      <c r="B66" t="s">
        <v>91</v>
      </c>
      <c r="D66" t="s">
        <v>22</v>
      </c>
      <c r="F66" t="s">
        <v>24</v>
      </c>
      <c r="G66">
        <v>70</v>
      </c>
      <c r="H66">
        <v>70</v>
      </c>
      <c r="I66" t="s">
        <v>29</v>
      </c>
      <c r="J66" s="2">
        <v>0</v>
      </c>
      <c r="K66" s="3">
        <v>0</v>
      </c>
      <c r="L66" s="2">
        <v>0</v>
      </c>
      <c r="M66" s="3">
        <v>0</v>
      </c>
      <c r="N66" s="2">
        <v>0</v>
      </c>
      <c r="O66" s="3">
        <v>0</v>
      </c>
    </row>
    <row r="67" spans="2:15" x14ac:dyDescent="0.25">
      <c r="B67" t="s">
        <v>92</v>
      </c>
      <c r="D67" t="s">
        <v>20</v>
      </c>
      <c r="F67" t="s">
        <v>24</v>
      </c>
      <c r="G67">
        <v>165</v>
      </c>
      <c r="H67">
        <v>165</v>
      </c>
      <c r="I67" t="s">
        <v>18</v>
      </c>
      <c r="J67" s="2">
        <v>54.764750421585163</v>
      </c>
      <c r="K67" s="3">
        <v>331.90757831263733</v>
      </c>
      <c r="L67" s="2">
        <v>23.617999999999999</v>
      </c>
      <c r="M67" s="3">
        <v>143.1393939393939</v>
      </c>
      <c r="N67" s="2">
        <v>78.382750421585158</v>
      </c>
      <c r="O67" s="3">
        <v>475.04697225203131</v>
      </c>
    </row>
    <row r="68" spans="2:15" x14ac:dyDescent="0.25">
      <c r="B68" t="s">
        <v>93</v>
      </c>
      <c r="D68" t="s">
        <v>22</v>
      </c>
      <c r="F68" t="s">
        <v>24</v>
      </c>
      <c r="G68">
        <v>150</v>
      </c>
      <c r="H68">
        <v>150</v>
      </c>
      <c r="I68" t="s">
        <v>29</v>
      </c>
      <c r="J68" s="2">
        <v>34.380913705167643</v>
      </c>
      <c r="K68" s="3">
        <v>229.20609136778421</v>
      </c>
      <c r="L68" s="2">
        <v>80.105000000000004</v>
      </c>
      <c r="M68" s="3">
        <v>534.0333333333333</v>
      </c>
      <c r="N68" s="2">
        <v>114.4859137051676</v>
      </c>
      <c r="O68" s="3">
        <v>763.23942470111751</v>
      </c>
    </row>
    <row r="69" spans="2:15" x14ac:dyDescent="0.25">
      <c r="B69" t="s">
        <v>94</v>
      </c>
      <c r="D69" t="s">
        <v>22</v>
      </c>
      <c r="F69" t="s">
        <v>24</v>
      </c>
      <c r="G69">
        <v>125</v>
      </c>
      <c r="H69">
        <v>125</v>
      </c>
      <c r="I69" t="s">
        <v>18</v>
      </c>
      <c r="J69" s="2">
        <v>5.6771760384295291</v>
      </c>
      <c r="K69" s="3">
        <v>45.417408307436233</v>
      </c>
      <c r="L69" s="2">
        <v>69.914999999999992</v>
      </c>
      <c r="M69" s="3">
        <v>559.31999999999994</v>
      </c>
      <c r="N69" s="2">
        <v>75.592176038429528</v>
      </c>
      <c r="O69" s="3">
        <v>604.73740830743623</v>
      </c>
    </row>
    <row r="70" spans="2:15" x14ac:dyDescent="0.25">
      <c r="B70" t="s">
        <v>95</v>
      </c>
      <c r="C70" t="s">
        <v>96</v>
      </c>
      <c r="D70" t="s">
        <v>20</v>
      </c>
      <c r="F70" t="s">
        <v>24</v>
      </c>
      <c r="G70">
        <v>200</v>
      </c>
      <c r="H70">
        <v>200</v>
      </c>
      <c r="I70" t="s">
        <v>29</v>
      </c>
      <c r="J70" s="2">
        <v>108.9875971733629</v>
      </c>
      <c r="K70" s="3">
        <v>544.93798586681442</v>
      </c>
      <c r="L70" s="2">
        <v>0</v>
      </c>
      <c r="M70" s="3">
        <v>0</v>
      </c>
      <c r="N70" s="2">
        <v>108.9875971733629</v>
      </c>
      <c r="O70" s="3">
        <v>544.93798586681442</v>
      </c>
    </row>
    <row r="71" spans="2:15" x14ac:dyDescent="0.25">
      <c r="B71" t="s">
        <v>97</v>
      </c>
      <c r="D71" t="s">
        <v>47</v>
      </c>
      <c r="F71" t="s">
        <v>17</v>
      </c>
      <c r="G71">
        <v>150</v>
      </c>
      <c r="H71">
        <v>150</v>
      </c>
      <c r="I71" t="s">
        <v>29</v>
      </c>
      <c r="J71" s="2">
        <v>9.5234340649915765</v>
      </c>
      <c r="K71" s="3">
        <v>63.489560433277177</v>
      </c>
      <c r="L71" s="2">
        <v>0</v>
      </c>
      <c r="M71" s="3">
        <v>0</v>
      </c>
      <c r="N71" s="2">
        <v>9.5234340649915765</v>
      </c>
      <c r="O71" s="3">
        <v>63.489560433277177</v>
      </c>
    </row>
    <row r="72" spans="2:15" x14ac:dyDescent="0.25">
      <c r="B72" t="s">
        <v>98</v>
      </c>
      <c r="D72" t="s">
        <v>16</v>
      </c>
      <c r="F72" t="s">
        <v>17</v>
      </c>
      <c r="G72">
        <v>250</v>
      </c>
      <c r="H72">
        <v>250</v>
      </c>
      <c r="I72" t="s">
        <v>29</v>
      </c>
      <c r="J72" s="2">
        <v>24.24894212876195</v>
      </c>
      <c r="K72" s="3">
        <v>96.995768515047814</v>
      </c>
      <c r="L72" s="2">
        <v>0</v>
      </c>
      <c r="M72" s="3">
        <v>0</v>
      </c>
      <c r="N72" s="2">
        <v>24.24894212876195</v>
      </c>
      <c r="O72" s="3">
        <v>96.995768515047814</v>
      </c>
    </row>
    <row r="73" spans="2:15" x14ac:dyDescent="0.25">
      <c r="B73" t="s">
        <v>99</v>
      </c>
      <c r="D73" t="s">
        <v>22</v>
      </c>
      <c r="F73" t="s">
        <v>17</v>
      </c>
      <c r="G73">
        <v>140</v>
      </c>
      <c r="H73">
        <v>140</v>
      </c>
      <c r="I73" t="s">
        <v>18</v>
      </c>
      <c r="J73" s="2">
        <v>31.062857521034939</v>
      </c>
      <c r="K73" s="3">
        <v>221.87755372167811</v>
      </c>
      <c r="L73" s="2">
        <v>0</v>
      </c>
      <c r="M73" s="3">
        <v>0</v>
      </c>
      <c r="N73" s="2">
        <v>31.062857521034939</v>
      </c>
      <c r="O73" s="3">
        <v>221.87755372167811</v>
      </c>
    </row>
    <row r="74" spans="2:15" x14ac:dyDescent="0.25">
      <c r="B74" t="s">
        <v>100</v>
      </c>
      <c r="D74" t="s">
        <v>22</v>
      </c>
      <c r="F74" t="s">
        <v>24</v>
      </c>
      <c r="G74">
        <v>400</v>
      </c>
      <c r="H74">
        <v>400</v>
      </c>
      <c r="I74" t="s">
        <v>29</v>
      </c>
      <c r="J74" s="2">
        <v>33.983171903520997</v>
      </c>
      <c r="K74" s="3">
        <v>84.957929758802493</v>
      </c>
      <c r="L74" s="2">
        <v>288.88200000000001</v>
      </c>
      <c r="M74" s="3">
        <v>722.20500000000004</v>
      </c>
      <c r="N74" s="2">
        <v>322.865171903521</v>
      </c>
      <c r="O74" s="3">
        <v>807.16292975880253</v>
      </c>
    </row>
    <row r="75" spans="2:15" x14ac:dyDescent="0.25">
      <c r="B75" t="s">
        <v>101</v>
      </c>
      <c r="C75" t="s">
        <v>102</v>
      </c>
      <c r="D75" t="s">
        <v>16</v>
      </c>
      <c r="F75" t="s">
        <v>17</v>
      </c>
      <c r="G75">
        <v>450</v>
      </c>
      <c r="H75">
        <v>450</v>
      </c>
      <c r="I75" t="s">
        <v>29</v>
      </c>
      <c r="J75" s="2">
        <v>1106.860924391827</v>
      </c>
      <c r="K75" s="3">
        <v>2459.6909430929481</v>
      </c>
      <c r="L75" s="2">
        <v>0</v>
      </c>
      <c r="M75" s="3">
        <v>0</v>
      </c>
      <c r="N75" s="2">
        <v>1106.860924391827</v>
      </c>
      <c r="O75" s="3">
        <v>2459.6909430929481</v>
      </c>
    </row>
    <row r="76" spans="2:15" x14ac:dyDescent="0.25">
      <c r="B76" t="s">
        <v>103</v>
      </c>
      <c r="D76" t="s">
        <v>16</v>
      </c>
      <c r="F76" t="s">
        <v>24</v>
      </c>
      <c r="G76">
        <v>80</v>
      </c>
      <c r="H76">
        <v>80</v>
      </c>
      <c r="I76" t="s">
        <v>18</v>
      </c>
      <c r="J76" s="2">
        <v>18.77011192505169</v>
      </c>
      <c r="K76" s="3">
        <v>234.62639906314621</v>
      </c>
      <c r="L76" s="2">
        <v>36.963000000000001</v>
      </c>
      <c r="M76" s="3">
        <v>462.03750000000002</v>
      </c>
      <c r="N76" s="2">
        <v>55.733111925051688</v>
      </c>
      <c r="O76" s="3">
        <v>696.66389906314612</v>
      </c>
    </row>
    <row r="77" spans="2:15" x14ac:dyDescent="0.25">
      <c r="B77" t="s">
        <v>104</v>
      </c>
      <c r="D77" t="s">
        <v>16</v>
      </c>
      <c r="F77" t="s">
        <v>17</v>
      </c>
      <c r="G77">
        <v>92</v>
      </c>
      <c r="H77">
        <v>92</v>
      </c>
      <c r="I77" t="s">
        <v>18</v>
      </c>
      <c r="J77" s="2">
        <v>58.942154513043832</v>
      </c>
      <c r="K77" s="3">
        <v>640.67559253308514</v>
      </c>
      <c r="L77" s="2">
        <v>0</v>
      </c>
      <c r="M77" s="3">
        <v>0</v>
      </c>
      <c r="N77" s="2">
        <v>58.942154513043832</v>
      </c>
      <c r="O77" s="3">
        <v>640.67559253308514</v>
      </c>
    </row>
    <row r="78" spans="2:15" x14ac:dyDescent="0.25">
      <c r="B78" t="s">
        <v>105</v>
      </c>
      <c r="D78" t="s">
        <v>22</v>
      </c>
      <c r="F78" t="s">
        <v>24</v>
      </c>
      <c r="G78">
        <v>222</v>
      </c>
      <c r="H78">
        <v>222</v>
      </c>
      <c r="I78" t="s">
        <v>29</v>
      </c>
      <c r="J78" s="2">
        <v>82.789380855269684</v>
      </c>
      <c r="K78" s="3">
        <v>372.9251389877013</v>
      </c>
      <c r="L78" s="2">
        <v>111.789</v>
      </c>
      <c r="M78" s="3">
        <v>503.55405405405418</v>
      </c>
      <c r="N78" s="2">
        <v>194.5783808552697</v>
      </c>
      <c r="O78" s="3">
        <v>876.47919304175548</v>
      </c>
    </row>
    <row r="79" spans="2:15" x14ac:dyDescent="0.25">
      <c r="B79" t="s">
        <v>106</v>
      </c>
      <c r="D79" t="s">
        <v>47</v>
      </c>
      <c r="F79" t="s">
        <v>24</v>
      </c>
      <c r="G79">
        <v>100</v>
      </c>
      <c r="H79">
        <v>100</v>
      </c>
      <c r="I79" t="s">
        <v>18</v>
      </c>
      <c r="J79" s="2">
        <v>4.5413640630066174</v>
      </c>
      <c r="K79" s="3">
        <v>45.413640630066169</v>
      </c>
      <c r="L79" s="2">
        <v>41.962000000000003</v>
      </c>
      <c r="M79" s="3">
        <v>419.62000000000012</v>
      </c>
      <c r="N79" s="2">
        <v>46.503364063006622</v>
      </c>
      <c r="O79" s="3">
        <v>465.0336406300662</v>
      </c>
    </row>
    <row r="80" spans="2:15" x14ac:dyDescent="0.25">
      <c r="B80" t="s">
        <v>107</v>
      </c>
      <c r="D80" t="s">
        <v>22</v>
      </c>
      <c r="F80" t="s">
        <v>24</v>
      </c>
      <c r="G80">
        <v>100</v>
      </c>
      <c r="H80">
        <v>100</v>
      </c>
      <c r="I80" t="s">
        <v>18</v>
      </c>
      <c r="J80" s="2">
        <v>0</v>
      </c>
      <c r="K80" s="3">
        <v>0</v>
      </c>
      <c r="L80" s="2">
        <v>16.509</v>
      </c>
      <c r="M80" s="3">
        <v>165.09</v>
      </c>
      <c r="N80" s="2">
        <v>16.509</v>
      </c>
      <c r="O80" s="3">
        <v>165.09</v>
      </c>
    </row>
    <row r="81" spans="2:15" x14ac:dyDescent="0.25">
      <c r="B81" t="s">
        <v>108</v>
      </c>
      <c r="D81" t="s">
        <v>22</v>
      </c>
      <c r="F81" t="s">
        <v>24</v>
      </c>
      <c r="G81">
        <v>150</v>
      </c>
      <c r="H81">
        <v>150</v>
      </c>
      <c r="I81" t="s">
        <v>18</v>
      </c>
      <c r="J81" s="2">
        <v>43.287133437666363</v>
      </c>
      <c r="K81" s="3">
        <v>288.58088958444239</v>
      </c>
      <c r="L81" s="2">
        <v>94.379000000000019</v>
      </c>
      <c r="M81" s="3">
        <v>629.1933333333335</v>
      </c>
      <c r="N81" s="2">
        <v>137.66613343766639</v>
      </c>
      <c r="O81" s="3">
        <v>917.77422291777589</v>
      </c>
    </row>
    <row r="82" spans="2:15" x14ac:dyDescent="0.25">
      <c r="B82" t="s">
        <v>109</v>
      </c>
      <c r="D82" t="s">
        <v>16</v>
      </c>
      <c r="F82" t="s">
        <v>24</v>
      </c>
      <c r="G82">
        <v>100</v>
      </c>
      <c r="H82">
        <v>100</v>
      </c>
      <c r="I82" t="s">
        <v>29</v>
      </c>
      <c r="J82" s="2">
        <v>48.985477624026878</v>
      </c>
      <c r="K82" s="3">
        <v>489.85477624026879</v>
      </c>
      <c r="L82" s="2">
        <v>75.911999999999978</v>
      </c>
      <c r="M82" s="3">
        <v>759.11999999999978</v>
      </c>
      <c r="N82" s="2">
        <v>124.89747762402691</v>
      </c>
      <c r="O82" s="3">
        <v>1248.974776240269</v>
      </c>
    </row>
    <row r="83" spans="2:15" x14ac:dyDescent="0.25">
      <c r="B83" t="s">
        <v>110</v>
      </c>
      <c r="D83" t="s">
        <v>20</v>
      </c>
      <c r="F83" t="s">
        <v>24</v>
      </c>
      <c r="G83">
        <v>100</v>
      </c>
      <c r="H83">
        <v>100</v>
      </c>
      <c r="I83" t="s">
        <v>29</v>
      </c>
      <c r="J83" s="2">
        <v>11.147787297340139</v>
      </c>
      <c r="K83" s="3">
        <v>111.4778729734014</v>
      </c>
      <c r="L83" s="2">
        <v>56.101999999999983</v>
      </c>
      <c r="M83" s="3">
        <v>561.01999999999975</v>
      </c>
      <c r="N83" s="2">
        <v>67.24978729734012</v>
      </c>
      <c r="O83" s="3">
        <v>672.49787297340117</v>
      </c>
    </row>
    <row r="84" spans="2:15" x14ac:dyDescent="0.25">
      <c r="B84" t="s">
        <v>111</v>
      </c>
      <c r="D84" t="s">
        <v>16</v>
      </c>
      <c r="F84" t="s">
        <v>24</v>
      </c>
      <c r="G84">
        <v>180</v>
      </c>
      <c r="H84">
        <v>180</v>
      </c>
      <c r="I84" t="s">
        <v>33</v>
      </c>
      <c r="J84" s="2">
        <v>14.12709934367405</v>
      </c>
      <c r="K84" s="3">
        <v>78.48388524263359</v>
      </c>
      <c r="L84" s="2">
        <v>117.73099999999999</v>
      </c>
      <c r="M84" s="3">
        <v>654.06111111111125</v>
      </c>
      <c r="N84" s="2">
        <v>131.8580993436741</v>
      </c>
      <c r="O84" s="3">
        <v>732.54499635374486</v>
      </c>
    </row>
    <row r="85" spans="2:15" x14ac:dyDescent="0.25">
      <c r="B85" t="s">
        <v>112</v>
      </c>
      <c r="D85" t="s">
        <v>20</v>
      </c>
      <c r="F85" t="s">
        <v>24</v>
      </c>
      <c r="G85">
        <v>450</v>
      </c>
      <c r="H85">
        <v>450</v>
      </c>
      <c r="I85" t="s">
        <v>18</v>
      </c>
      <c r="J85" s="2">
        <v>132.42004840349799</v>
      </c>
      <c r="K85" s="3">
        <v>294.26677422999558</v>
      </c>
      <c r="L85" s="2">
        <v>0</v>
      </c>
      <c r="M85" s="3">
        <v>0</v>
      </c>
      <c r="N85" s="2">
        <v>132.42004840349799</v>
      </c>
      <c r="O85" s="3">
        <v>294.26677422999558</v>
      </c>
    </row>
    <row r="86" spans="2:15" x14ac:dyDescent="0.25">
      <c r="B86" t="s">
        <v>113</v>
      </c>
      <c r="D86" t="s">
        <v>16</v>
      </c>
      <c r="F86" t="s">
        <v>24</v>
      </c>
      <c r="G86">
        <v>200</v>
      </c>
      <c r="H86">
        <v>200</v>
      </c>
      <c r="I86" t="s">
        <v>18</v>
      </c>
      <c r="J86" s="2">
        <v>9.7842277983806927</v>
      </c>
      <c r="K86" s="3">
        <v>48.921138991903462</v>
      </c>
      <c r="L86" s="2">
        <v>0</v>
      </c>
      <c r="M86" s="3">
        <v>0</v>
      </c>
      <c r="N86" s="2">
        <v>9.7842277983806927</v>
      </c>
      <c r="O86" s="3">
        <v>48.921138991903462</v>
      </c>
    </row>
    <row r="87" spans="2:15" x14ac:dyDescent="0.25">
      <c r="B87" t="s">
        <v>114</v>
      </c>
      <c r="D87" t="s">
        <v>22</v>
      </c>
      <c r="F87" t="s">
        <v>17</v>
      </c>
      <c r="G87">
        <v>140</v>
      </c>
      <c r="H87">
        <v>140</v>
      </c>
      <c r="I87" t="s">
        <v>18</v>
      </c>
      <c r="J87" s="2">
        <v>33.730837058487637</v>
      </c>
      <c r="K87" s="3">
        <v>240.93455041776889</v>
      </c>
      <c r="L87" s="2">
        <v>0</v>
      </c>
      <c r="M87" s="3">
        <v>0</v>
      </c>
      <c r="N87" s="2">
        <v>33.730837058487637</v>
      </c>
      <c r="O87" s="3">
        <v>240.93455041776889</v>
      </c>
    </row>
    <row r="88" spans="2:15" x14ac:dyDescent="0.25">
      <c r="B88" t="s">
        <v>115</v>
      </c>
      <c r="D88" t="s">
        <v>22</v>
      </c>
      <c r="F88" t="s">
        <v>17</v>
      </c>
      <c r="G88">
        <v>135</v>
      </c>
      <c r="H88">
        <v>135</v>
      </c>
      <c r="I88" t="s">
        <v>18</v>
      </c>
      <c r="J88" s="2">
        <v>50.678069957242869</v>
      </c>
      <c r="K88" s="3">
        <v>375.39311079439159</v>
      </c>
      <c r="L88" s="2">
        <v>0</v>
      </c>
      <c r="M88" s="3">
        <v>0</v>
      </c>
      <c r="N88" s="2">
        <v>50.678069957242869</v>
      </c>
      <c r="O88" s="3">
        <v>375.39311079439159</v>
      </c>
    </row>
    <row r="89" spans="2:15" x14ac:dyDescent="0.25">
      <c r="B89" t="s">
        <v>116</v>
      </c>
      <c r="D89" t="s">
        <v>22</v>
      </c>
      <c r="F89" t="s">
        <v>17</v>
      </c>
      <c r="G89">
        <v>80</v>
      </c>
      <c r="H89">
        <v>80</v>
      </c>
      <c r="I89" t="s">
        <v>18</v>
      </c>
      <c r="J89" s="2">
        <v>15.330739432924259</v>
      </c>
      <c r="K89" s="3">
        <v>191.63424291155329</v>
      </c>
      <c r="L89" s="2">
        <v>0</v>
      </c>
      <c r="M89" s="3">
        <v>0</v>
      </c>
      <c r="N89" s="2">
        <v>15.330739432924259</v>
      </c>
      <c r="O89" s="3">
        <v>191.63424291155329</v>
      </c>
    </row>
    <row r="90" spans="2:15" x14ac:dyDescent="0.25">
      <c r="B90" t="s">
        <v>117</v>
      </c>
      <c r="D90" t="s">
        <v>20</v>
      </c>
      <c r="F90" t="s">
        <v>24</v>
      </c>
      <c r="G90">
        <v>250</v>
      </c>
      <c r="H90">
        <v>250</v>
      </c>
      <c r="I90" t="s">
        <v>18</v>
      </c>
      <c r="J90" s="2">
        <v>43.219382675254927</v>
      </c>
      <c r="K90" s="3">
        <v>172.87753070101971</v>
      </c>
      <c r="L90" s="2">
        <v>28.679999999999978</v>
      </c>
      <c r="M90" s="3">
        <v>114.7199999999999</v>
      </c>
      <c r="N90" s="2">
        <v>71.899382675254913</v>
      </c>
      <c r="O90" s="3">
        <v>287.59753070101971</v>
      </c>
    </row>
    <row r="91" spans="2:15" x14ac:dyDescent="0.25">
      <c r="B91" t="s">
        <v>118</v>
      </c>
      <c r="D91" t="s">
        <v>16</v>
      </c>
      <c r="F91" t="s">
        <v>17</v>
      </c>
      <c r="G91">
        <v>280</v>
      </c>
      <c r="H91">
        <v>280</v>
      </c>
      <c r="I91" t="s">
        <v>18</v>
      </c>
      <c r="J91" s="2">
        <v>100.1293942618919</v>
      </c>
      <c r="K91" s="3">
        <v>357.60497950675682</v>
      </c>
      <c r="L91" s="2">
        <v>0</v>
      </c>
      <c r="M91" s="3">
        <v>0</v>
      </c>
      <c r="N91" s="2">
        <v>100.1293942618919</v>
      </c>
      <c r="O91" s="3">
        <v>357.60497950675682</v>
      </c>
    </row>
    <row r="92" spans="2:15" x14ac:dyDescent="0.25">
      <c r="B92" t="s">
        <v>119</v>
      </c>
      <c r="D92" t="s">
        <v>20</v>
      </c>
      <c r="F92" t="s">
        <v>24</v>
      </c>
      <c r="G92">
        <v>100</v>
      </c>
      <c r="H92">
        <v>100</v>
      </c>
      <c r="I92" t="s">
        <v>29</v>
      </c>
      <c r="J92" s="2">
        <v>96.595334963952965</v>
      </c>
      <c r="K92" s="3">
        <v>965.95334963952962</v>
      </c>
      <c r="L92" s="2">
        <v>12.342000000000001</v>
      </c>
      <c r="M92" s="3">
        <v>123.42</v>
      </c>
      <c r="N92" s="2">
        <v>108.93733496395301</v>
      </c>
      <c r="O92" s="3">
        <v>1089.37334963953</v>
      </c>
    </row>
    <row r="93" spans="2:15" x14ac:dyDescent="0.25">
      <c r="B93" t="s">
        <v>120</v>
      </c>
      <c r="D93" t="s">
        <v>22</v>
      </c>
      <c r="F93" t="s">
        <v>24</v>
      </c>
      <c r="G93">
        <v>450</v>
      </c>
      <c r="H93">
        <v>450</v>
      </c>
      <c r="I93" t="s">
        <v>29</v>
      </c>
      <c r="J93" s="2">
        <v>34.621179775530393</v>
      </c>
      <c r="K93" s="3">
        <v>76.935955056734201</v>
      </c>
      <c r="L93" s="2">
        <v>0</v>
      </c>
      <c r="M93" s="3">
        <v>0</v>
      </c>
      <c r="N93" s="2">
        <v>34.621179775530393</v>
      </c>
      <c r="O93" s="3">
        <v>76.935955056734201</v>
      </c>
    </row>
    <row r="94" spans="2:15" x14ac:dyDescent="0.25">
      <c r="B94" t="s">
        <v>121</v>
      </c>
      <c r="D94" t="s">
        <v>22</v>
      </c>
      <c r="F94" t="s">
        <v>24</v>
      </c>
      <c r="G94">
        <v>100</v>
      </c>
      <c r="H94">
        <v>100</v>
      </c>
      <c r="I94" t="s">
        <v>18</v>
      </c>
      <c r="J94" s="2">
        <v>4.8274615323923582</v>
      </c>
      <c r="K94" s="3">
        <v>48.274615323923577</v>
      </c>
      <c r="L94" s="2">
        <v>0</v>
      </c>
      <c r="M94" s="3">
        <v>0</v>
      </c>
      <c r="N94" s="2">
        <v>4.8274615323923582</v>
      </c>
      <c r="O94" s="3">
        <v>48.274615323923577</v>
      </c>
    </row>
    <row r="95" spans="2:15" x14ac:dyDescent="0.25">
      <c r="B95" t="s">
        <v>122</v>
      </c>
      <c r="D95" t="s">
        <v>22</v>
      </c>
      <c r="F95" t="s">
        <v>24</v>
      </c>
      <c r="G95">
        <v>365</v>
      </c>
      <c r="H95">
        <v>365</v>
      </c>
      <c r="I95" t="s">
        <v>18</v>
      </c>
      <c r="J95" s="2">
        <v>119.7770105749554</v>
      </c>
      <c r="K95" s="3">
        <v>328.15619335604231</v>
      </c>
      <c r="L95" s="2">
        <v>171.18999999999991</v>
      </c>
      <c r="M95" s="3">
        <v>469.01369863013679</v>
      </c>
      <c r="N95" s="2">
        <v>290.96701057495528</v>
      </c>
      <c r="O95" s="3">
        <v>797.16989198617898</v>
      </c>
    </row>
    <row r="96" spans="2:15" x14ac:dyDescent="0.25">
      <c r="B96" t="s">
        <v>123</v>
      </c>
      <c r="D96" t="s">
        <v>16</v>
      </c>
      <c r="F96" t="s">
        <v>17</v>
      </c>
      <c r="G96">
        <v>150</v>
      </c>
      <c r="H96">
        <v>150</v>
      </c>
      <c r="I96" t="s">
        <v>18</v>
      </c>
      <c r="J96" s="2">
        <v>0</v>
      </c>
      <c r="K96" s="3">
        <v>0</v>
      </c>
      <c r="L96" s="2">
        <v>0</v>
      </c>
      <c r="M96" s="3">
        <v>0</v>
      </c>
      <c r="N96" s="2">
        <v>0</v>
      </c>
      <c r="O96" s="3">
        <v>0</v>
      </c>
    </row>
    <row r="97" spans="2:15" x14ac:dyDescent="0.25">
      <c r="B97" t="s">
        <v>124</v>
      </c>
      <c r="D97" t="s">
        <v>47</v>
      </c>
      <c r="F97" t="s">
        <v>24</v>
      </c>
      <c r="G97">
        <v>300</v>
      </c>
      <c r="H97">
        <v>300</v>
      </c>
      <c r="I97" t="s">
        <v>18</v>
      </c>
      <c r="J97" s="2">
        <v>33.958966492969878</v>
      </c>
      <c r="K97" s="3">
        <v>113.1965549765663</v>
      </c>
      <c r="L97" s="2">
        <v>0</v>
      </c>
      <c r="M97" s="3">
        <v>0</v>
      </c>
      <c r="N97" s="2">
        <v>33.958966492969878</v>
      </c>
      <c r="O97" s="3">
        <v>113.1965549765663</v>
      </c>
    </row>
    <row r="98" spans="2:15" x14ac:dyDescent="0.25">
      <c r="B98" t="s">
        <v>125</v>
      </c>
      <c r="D98" t="s">
        <v>20</v>
      </c>
      <c r="F98" t="s">
        <v>17</v>
      </c>
      <c r="G98">
        <v>188</v>
      </c>
      <c r="H98">
        <v>188</v>
      </c>
      <c r="I98" t="s">
        <v>18</v>
      </c>
      <c r="J98" s="2">
        <v>54.35616877933419</v>
      </c>
      <c r="K98" s="3">
        <v>289.128557336884</v>
      </c>
      <c r="L98" s="2">
        <v>0</v>
      </c>
      <c r="M98" s="3">
        <v>0</v>
      </c>
      <c r="N98" s="2">
        <v>54.35616877933419</v>
      </c>
      <c r="O98" s="3">
        <v>289.128557336884</v>
      </c>
    </row>
    <row r="99" spans="2:15" x14ac:dyDescent="0.25">
      <c r="B99" t="s">
        <v>126</v>
      </c>
      <c r="D99" t="s">
        <v>20</v>
      </c>
      <c r="F99" t="s">
        <v>17</v>
      </c>
      <c r="G99">
        <v>169</v>
      </c>
      <c r="H99">
        <v>169</v>
      </c>
      <c r="I99" t="s">
        <v>18</v>
      </c>
      <c r="J99" s="2">
        <v>48.960378841874778</v>
      </c>
      <c r="K99" s="3">
        <v>289.70638367973243</v>
      </c>
      <c r="L99" s="2">
        <v>0</v>
      </c>
      <c r="M99" s="3">
        <v>0</v>
      </c>
      <c r="N99" s="2">
        <v>48.960378841874778</v>
      </c>
      <c r="O99" s="3">
        <v>289.70638367973243</v>
      </c>
    </row>
    <row r="100" spans="2:15" x14ac:dyDescent="0.25">
      <c r="B100" t="s">
        <v>127</v>
      </c>
      <c r="C100" t="s">
        <v>128</v>
      </c>
      <c r="D100" t="s">
        <v>22</v>
      </c>
      <c r="F100" t="s">
        <v>24</v>
      </c>
      <c r="G100">
        <v>200</v>
      </c>
      <c r="H100">
        <v>200</v>
      </c>
      <c r="I100" t="s">
        <v>29</v>
      </c>
      <c r="J100" s="2">
        <v>28.926321309283839</v>
      </c>
      <c r="K100" s="3">
        <v>144.63160654641919</v>
      </c>
      <c r="L100" s="2">
        <v>50.045999999999999</v>
      </c>
      <c r="M100" s="3">
        <v>250.23</v>
      </c>
      <c r="N100" s="2">
        <v>78.972321309283842</v>
      </c>
      <c r="O100" s="3">
        <v>394.86160654641918</v>
      </c>
    </row>
    <row r="101" spans="2:15" x14ac:dyDescent="0.25">
      <c r="B101" t="s">
        <v>129</v>
      </c>
      <c r="D101" t="s">
        <v>22</v>
      </c>
      <c r="F101" t="s">
        <v>24</v>
      </c>
      <c r="G101">
        <v>105</v>
      </c>
      <c r="H101">
        <v>105</v>
      </c>
      <c r="I101" t="s">
        <v>18</v>
      </c>
      <c r="J101" s="2">
        <v>30.463924124076161</v>
      </c>
      <c r="K101" s="3">
        <v>290.13261070548731</v>
      </c>
      <c r="L101" s="2">
        <v>173.77699999999999</v>
      </c>
      <c r="M101" s="3">
        <v>1655.0190476190469</v>
      </c>
      <c r="N101" s="2">
        <v>204.24092412407609</v>
      </c>
      <c r="O101" s="3">
        <v>1945.151658324535</v>
      </c>
    </row>
    <row r="102" spans="2:15" x14ac:dyDescent="0.25">
      <c r="B102" t="s">
        <v>130</v>
      </c>
      <c r="D102" t="s">
        <v>16</v>
      </c>
      <c r="F102" t="s">
        <v>24</v>
      </c>
      <c r="G102">
        <v>135</v>
      </c>
      <c r="H102">
        <v>135</v>
      </c>
      <c r="I102" t="s">
        <v>29</v>
      </c>
      <c r="J102" s="2">
        <v>69.865264423955352</v>
      </c>
      <c r="K102" s="3">
        <v>517.52047721448412</v>
      </c>
      <c r="L102" s="2">
        <v>57.991999999999997</v>
      </c>
      <c r="M102" s="3">
        <v>429.57037037037043</v>
      </c>
      <c r="N102" s="2">
        <v>127.8572644239554</v>
      </c>
      <c r="O102" s="3">
        <v>947.09084758485449</v>
      </c>
    </row>
    <row r="103" spans="2:15" x14ac:dyDescent="0.25">
      <c r="B103" t="s">
        <v>131</v>
      </c>
      <c r="D103" t="s">
        <v>22</v>
      </c>
      <c r="F103" t="s">
        <v>24</v>
      </c>
      <c r="G103">
        <v>200</v>
      </c>
      <c r="H103">
        <v>200</v>
      </c>
      <c r="I103" t="s">
        <v>18</v>
      </c>
      <c r="J103" s="2">
        <v>19.912159652051692</v>
      </c>
      <c r="K103" s="3">
        <v>99.560798260258451</v>
      </c>
      <c r="L103" s="2">
        <v>127.70399999999999</v>
      </c>
      <c r="M103" s="3">
        <v>638.5200000000001</v>
      </c>
      <c r="N103" s="2">
        <v>147.61615965205169</v>
      </c>
      <c r="O103" s="3">
        <v>738.08079826025858</v>
      </c>
    </row>
    <row r="104" spans="2:15" x14ac:dyDescent="0.25">
      <c r="B104" t="s">
        <v>132</v>
      </c>
      <c r="D104" t="s">
        <v>20</v>
      </c>
      <c r="F104" t="s">
        <v>17</v>
      </c>
      <c r="G104">
        <v>100</v>
      </c>
      <c r="H104">
        <v>100</v>
      </c>
      <c r="I104" t="s">
        <v>31</v>
      </c>
      <c r="J104" s="2">
        <v>72.558215365045612</v>
      </c>
      <c r="K104" s="3">
        <v>725.58215365045612</v>
      </c>
      <c r="L104" s="2">
        <v>0</v>
      </c>
      <c r="M104" s="3">
        <v>0</v>
      </c>
      <c r="N104" s="2">
        <v>72.558215365045612</v>
      </c>
      <c r="O104" s="3">
        <v>725.58215365045612</v>
      </c>
    </row>
    <row r="105" spans="2:15" x14ac:dyDescent="0.25">
      <c r="B105" t="s">
        <v>133</v>
      </c>
      <c r="D105" t="s">
        <v>22</v>
      </c>
      <c r="F105" t="s">
        <v>24</v>
      </c>
      <c r="G105">
        <v>120</v>
      </c>
      <c r="H105">
        <v>120</v>
      </c>
      <c r="I105" t="s">
        <v>29</v>
      </c>
      <c r="J105" s="2">
        <v>111.7054950311058</v>
      </c>
      <c r="K105" s="3">
        <v>930.87912525921502</v>
      </c>
      <c r="L105" s="2">
        <v>74.025999999999954</v>
      </c>
      <c r="M105" s="3">
        <v>616.88333333333287</v>
      </c>
      <c r="N105" s="2">
        <v>185.73149503110571</v>
      </c>
      <c r="O105" s="3">
        <v>1547.762458592548</v>
      </c>
    </row>
    <row r="106" spans="2:15" x14ac:dyDescent="0.25">
      <c r="B106" t="s">
        <v>134</v>
      </c>
      <c r="D106" t="s">
        <v>22</v>
      </c>
      <c r="F106" t="s">
        <v>24</v>
      </c>
      <c r="G106">
        <v>100</v>
      </c>
      <c r="H106">
        <v>100</v>
      </c>
      <c r="I106" t="s">
        <v>29</v>
      </c>
      <c r="J106" s="2">
        <v>2.5318359509536812</v>
      </c>
      <c r="K106" s="3">
        <v>25.318359509536808</v>
      </c>
      <c r="L106" s="2">
        <v>43.820000000000007</v>
      </c>
      <c r="M106" s="3">
        <v>438.2000000000001</v>
      </c>
      <c r="N106" s="2">
        <v>46.351835950953692</v>
      </c>
      <c r="O106" s="3">
        <v>463.51835950953688</v>
      </c>
    </row>
    <row r="107" spans="2:15" x14ac:dyDescent="0.25">
      <c r="B107" t="s">
        <v>135</v>
      </c>
      <c r="D107" t="s">
        <v>22</v>
      </c>
      <c r="F107" t="s">
        <v>24</v>
      </c>
      <c r="G107">
        <v>100</v>
      </c>
      <c r="H107">
        <v>100</v>
      </c>
      <c r="I107" t="s">
        <v>29</v>
      </c>
      <c r="J107" s="2">
        <v>6.6362503587135961</v>
      </c>
      <c r="K107" s="3">
        <v>66.362503587135961</v>
      </c>
      <c r="L107" s="2">
        <v>78.11</v>
      </c>
      <c r="M107" s="3">
        <v>781.1</v>
      </c>
      <c r="N107" s="2">
        <v>84.746250358713596</v>
      </c>
      <c r="O107" s="3">
        <v>847.46250358713598</v>
      </c>
    </row>
    <row r="108" spans="2:15" x14ac:dyDescent="0.25">
      <c r="B108" t="s">
        <v>136</v>
      </c>
      <c r="D108" t="s">
        <v>16</v>
      </c>
      <c r="F108" t="s">
        <v>24</v>
      </c>
      <c r="G108">
        <v>160</v>
      </c>
      <c r="H108">
        <v>160</v>
      </c>
      <c r="I108" t="s">
        <v>29</v>
      </c>
      <c r="J108" s="2">
        <v>83.545429185595225</v>
      </c>
      <c r="K108" s="3">
        <v>522.15893240997013</v>
      </c>
      <c r="L108" s="2">
        <v>121.43600000000001</v>
      </c>
      <c r="M108" s="3">
        <v>758.9749999999998</v>
      </c>
      <c r="N108" s="2">
        <v>204.9814291855952</v>
      </c>
      <c r="O108" s="3">
        <v>1281.1339324099699</v>
      </c>
    </row>
    <row r="109" spans="2:15" x14ac:dyDescent="0.25">
      <c r="B109" t="s">
        <v>137</v>
      </c>
      <c r="D109" t="s">
        <v>22</v>
      </c>
      <c r="F109" t="s">
        <v>24</v>
      </c>
      <c r="G109">
        <v>200</v>
      </c>
      <c r="H109">
        <v>200</v>
      </c>
      <c r="I109" t="s">
        <v>29</v>
      </c>
      <c r="J109" s="2">
        <v>24.711726599646259</v>
      </c>
      <c r="K109" s="3">
        <v>123.5586329982313</v>
      </c>
      <c r="L109" s="2">
        <v>114.742</v>
      </c>
      <c r="M109" s="3">
        <v>573.70999999999981</v>
      </c>
      <c r="N109" s="2">
        <v>139.45372659964619</v>
      </c>
      <c r="O109" s="3">
        <v>697.26863299823117</v>
      </c>
    </row>
    <row r="110" spans="2:15" x14ac:dyDescent="0.25">
      <c r="B110" t="s">
        <v>138</v>
      </c>
      <c r="D110" t="s">
        <v>22</v>
      </c>
      <c r="F110" t="s">
        <v>24</v>
      </c>
      <c r="G110">
        <v>200</v>
      </c>
      <c r="H110">
        <v>200</v>
      </c>
      <c r="I110" t="s">
        <v>29</v>
      </c>
      <c r="J110" s="2">
        <v>48.220911358056028</v>
      </c>
      <c r="K110" s="3">
        <v>241.10455679028021</v>
      </c>
      <c r="L110" s="2">
        <v>0</v>
      </c>
      <c r="M110" s="3">
        <v>0</v>
      </c>
      <c r="N110" s="2">
        <v>48.220911358056028</v>
      </c>
      <c r="O110" s="3">
        <v>241.10455679028021</v>
      </c>
    </row>
    <row r="111" spans="2:15" x14ac:dyDescent="0.25">
      <c r="B111" t="s">
        <v>139</v>
      </c>
      <c r="D111" t="s">
        <v>16</v>
      </c>
      <c r="F111" t="s">
        <v>24</v>
      </c>
      <c r="G111">
        <v>100</v>
      </c>
      <c r="H111">
        <v>100</v>
      </c>
      <c r="I111" t="s">
        <v>18</v>
      </c>
      <c r="J111" s="2">
        <v>0</v>
      </c>
      <c r="K111" s="3">
        <v>0</v>
      </c>
      <c r="L111" s="2">
        <v>37.723999999999997</v>
      </c>
      <c r="M111" s="3">
        <v>377.24</v>
      </c>
      <c r="N111" s="2">
        <v>37.723999999999997</v>
      </c>
      <c r="O111" s="3">
        <v>377.24</v>
      </c>
    </row>
    <row r="112" spans="2:15" x14ac:dyDescent="0.25">
      <c r="B112" t="s">
        <v>140</v>
      </c>
      <c r="D112" t="s">
        <v>22</v>
      </c>
      <c r="F112" t="s">
        <v>24</v>
      </c>
      <c r="G112">
        <v>300</v>
      </c>
      <c r="H112">
        <v>300</v>
      </c>
      <c r="I112" t="s">
        <v>18</v>
      </c>
      <c r="J112" s="2">
        <v>100.340202362938</v>
      </c>
      <c r="K112" s="3">
        <v>334.46734120979329</v>
      </c>
      <c r="L112" s="2">
        <v>0</v>
      </c>
      <c r="M112" s="3">
        <v>0</v>
      </c>
      <c r="N112" s="2">
        <v>100.340202362938</v>
      </c>
      <c r="O112" s="3">
        <v>334.46734120979329</v>
      </c>
    </row>
    <row r="113" spans="2:15" x14ac:dyDescent="0.25">
      <c r="B113" t="s">
        <v>141</v>
      </c>
      <c r="D113" t="s">
        <v>20</v>
      </c>
      <c r="F113" t="s">
        <v>24</v>
      </c>
      <c r="G113">
        <v>225</v>
      </c>
      <c r="H113">
        <v>225</v>
      </c>
      <c r="I113" t="s">
        <v>18</v>
      </c>
      <c r="J113" s="2">
        <v>84.529463748907887</v>
      </c>
      <c r="K113" s="3">
        <v>375.68650555070172</v>
      </c>
      <c r="L113" s="2">
        <v>54.263000000000012</v>
      </c>
      <c r="M113" s="3">
        <v>241.16888888888889</v>
      </c>
      <c r="N113" s="2">
        <v>138.79246374890789</v>
      </c>
      <c r="O113" s="3">
        <v>616.85539443959067</v>
      </c>
    </row>
    <row r="114" spans="2:15" x14ac:dyDescent="0.25">
      <c r="B114" t="s">
        <v>142</v>
      </c>
      <c r="D114" t="s">
        <v>22</v>
      </c>
      <c r="F114" t="s">
        <v>24</v>
      </c>
      <c r="G114">
        <v>100</v>
      </c>
      <c r="H114">
        <v>100</v>
      </c>
      <c r="I114" t="s">
        <v>18</v>
      </c>
      <c r="J114" s="2">
        <v>5.3892256561971461</v>
      </c>
      <c r="K114" s="3">
        <v>53.892256561971458</v>
      </c>
      <c r="L114" s="2">
        <v>53.002999999999993</v>
      </c>
      <c r="M114" s="3">
        <v>530.02999999999986</v>
      </c>
      <c r="N114" s="2">
        <v>58.392225656197127</v>
      </c>
      <c r="O114" s="3">
        <v>583.92225656197138</v>
      </c>
    </row>
    <row r="115" spans="2:15" x14ac:dyDescent="0.25">
      <c r="B115" t="s">
        <v>143</v>
      </c>
      <c r="D115" t="s">
        <v>47</v>
      </c>
      <c r="F115" t="s">
        <v>24</v>
      </c>
      <c r="G115">
        <v>200</v>
      </c>
      <c r="H115">
        <v>200</v>
      </c>
      <c r="I115" t="s">
        <v>31</v>
      </c>
      <c r="J115" s="2">
        <v>28.015755997483371</v>
      </c>
      <c r="K115" s="3">
        <v>140.07877998741691</v>
      </c>
      <c r="L115" s="2">
        <v>85.657000000000011</v>
      </c>
      <c r="M115" s="3">
        <v>428.28500000000003</v>
      </c>
      <c r="N115" s="2">
        <v>113.67275599748341</v>
      </c>
      <c r="O115" s="3">
        <v>568.36377998741682</v>
      </c>
    </row>
    <row r="116" spans="2:15" x14ac:dyDescent="0.25">
      <c r="B116" t="s">
        <v>144</v>
      </c>
      <c r="D116" t="s">
        <v>16</v>
      </c>
      <c r="F116" t="s">
        <v>24</v>
      </c>
      <c r="G116">
        <v>200</v>
      </c>
      <c r="H116">
        <v>200</v>
      </c>
      <c r="I116" t="s">
        <v>18</v>
      </c>
      <c r="J116" s="2">
        <v>27.260134342159049</v>
      </c>
      <c r="K116" s="3">
        <v>136.3006717107952</v>
      </c>
      <c r="L116" s="2">
        <v>0</v>
      </c>
      <c r="M116" s="3">
        <v>0</v>
      </c>
      <c r="N116" s="2">
        <v>27.260134342159049</v>
      </c>
      <c r="O116" s="3">
        <v>136.3006717107952</v>
      </c>
    </row>
    <row r="117" spans="2:15" x14ac:dyDescent="0.25">
      <c r="B117" t="s">
        <v>145</v>
      </c>
      <c r="D117" t="s">
        <v>20</v>
      </c>
      <c r="F117" t="s">
        <v>24</v>
      </c>
      <c r="G117">
        <v>160</v>
      </c>
      <c r="H117">
        <v>160</v>
      </c>
      <c r="I117" t="s">
        <v>18</v>
      </c>
      <c r="J117" s="2">
        <v>51.481939775764168</v>
      </c>
      <c r="K117" s="3">
        <v>321.76212359852599</v>
      </c>
      <c r="L117" s="2">
        <v>91.603999999999999</v>
      </c>
      <c r="M117" s="3">
        <v>572.52499999999998</v>
      </c>
      <c r="N117" s="2">
        <v>143.08593977576419</v>
      </c>
      <c r="O117" s="3">
        <v>894.28712359852602</v>
      </c>
    </row>
    <row r="118" spans="2:15" x14ac:dyDescent="0.25">
      <c r="B118" t="s">
        <v>146</v>
      </c>
      <c r="D118" t="s">
        <v>20</v>
      </c>
      <c r="F118" t="s">
        <v>24</v>
      </c>
      <c r="G118">
        <v>100</v>
      </c>
      <c r="H118">
        <v>100</v>
      </c>
      <c r="I118" t="s">
        <v>29</v>
      </c>
      <c r="J118" s="2">
        <v>24.247605088122111</v>
      </c>
      <c r="K118" s="3">
        <v>242.47605088122111</v>
      </c>
      <c r="L118" s="2">
        <v>100.104</v>
      </c>
      <c r="M118" s="3">
        <v>1001.04</v>
      </c>
      <c r="N118" s="2">
        <v>124.3516050881221</v>
      </c>
      <c r="O118" s="3">
        <v>1243.516050881221</v>
      </c>
    </row>
    <row r="119" spans="2:15" x14ac:dyDescent="0.25">
      <c r="B119" t="s">
        <v>147</v>
      </c>
      <c r="D119" t="s">
        <v>22</v>
      </c>
      <c r="F119" t="s">
        <v>24</v>
      </c>
      <c r="G119">
        <v>500</v>
      </c>
      <c r="H119">
        <v>500</v>
      </c>
      <c r="I119" t="s">
        <v>18</v>
      </c>
      <c r="J119" s="2">
        <v>49.879956463360678</v>
      </c>
      <c r="K119" s="3">
        <v>99.759912926721356</v>
      </c>
      <c r="L119" s="2">
        <v>406.20600000000002</v>
      </c>
      <c r="M119" s="3">
        <v>812.41200000000003</v>
      </c>
      <c r="N119" s="2">
        <v>456.08595646336067</v>
      </c>
      <c r="O119" s="3">
        <v>912.17191292672135</v>
      </c>
    </row>
    <row r="120" spans="2:15" x14ac:dyDescent="0.25">
      <c r="B120" t="s">
        <v>148</v>
      </c>
      <c r="D120" t="s">
        <v>16</v>
      </c>
      <c r="F120" t="s">
        <v>17</v>
      </c>
      <c r="G120">
        <v>350</v>
      </c>
      <c r="H120">
        <v>350</v>
      </c>
      <c r="I120" t="s">
        <v>18</v>
      </c>
      <c r="J120" s="2">
        <v>48.080212189626693</v>
      </c>
      <c r="K120" s="3">
        <v>137.37203482750479</v>
      </c>
      <c r="L120" s="2">
        <v>0</v>
      </c>
      <c r="M120" s="3">
        <v>0</v>
      </c>
      <c r="N120" s="2">
        <v>48.080212189626693</v>
      </c>
      <c r="O120" s="3">
        <v>137.37203482750479</v>
      </c>
    </row>
    <row r="121" spans="2:15" x14ac:dyDescent="0.25">
      <c r="B121" t="s">
        <v>149</v>
      </c>
      <c r="C121" t="s">
        <v>150</v>
      </c>
      <c r="D121" t="s">
        <v>22</v>
      </c>
      <c r="F121" t="s">
        <v>24</v>
      </c>
      <c r="G121">
        <v>200</v>
      </c>
      <c r="H121">
        <v>200</v>
      </c>
      <c r="I121" t="s">
        <v>29</v>
      </c>
      <c r="J121" s="2">
        <v>67.977816888725414</v>
      </c>
      <c r="K121" s="3">
        <v>339.8890844436271</v>
      </c>
      <c r="L121" s="2">
        <v>0</v>
      </c>
      <c r="M121" s="3">
        <v>0</v>
      </c>
      <c r="N121" s="2">
        <v>67.977816888725414</v>
      </c>
      <c r="O121" s="3">
        <v>339.8890844436271</v>
      </c>
    </row>
    <row r="122" spans="2:15" x14ac:dyDescent="0.25">
      <c r="B122" t="s">
        <v>151</v>
      </c>
      <c r="D122" t="s">
        <v>20</v>
      </c>
      <c r="F122" t="s">
        <v>24</v>
      </c>
      <c r="G122">
        <v>100</v>
      </c>
      <c r="H122">
        <v>100</v>
      </c>
      <c r="I122" t="s">
        <v>29</v>
      </c>
      <c r="J122" s="2">
        <v>84.38524201164789</v>
      </c>
      <c r="K122" s="3">
        <v>843.85242011647892</v>
      </c>
      <c r="L122" s="2">
        <v>36.499000000000002</v>
      </c>
      <c r="M122" s="3">
        <v>364.99</v>
      </c>
      <c r="N122" s="2">
        <v>120.8842420116479</v>
      </c>
      <c r="O122" s="3">
        <v>1208.8424201164789</v>
      </c>
    </row>
  </sheetData>
  <autoFilter ref="A1:O122" xr:uid="{00000000-0009-0000-0000-000000000000}">
    <filterColumn colId="2">
      <filters>
        <filter val="Driftwood"/>
        <filter val="Holmes West"/>
        <filter val="King"/>
        <filter val="King's Neighbor"/>
        <filter val="Tripletail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2"/>
  <sheetViews>
    <sheetView workbookViewId="0">
      <selection activeCell="A3" sqref="A3"/>
    </sheetView>
  </sheetViews>
  <sheetFormatPr defaultRowHeight="15" x14ac:dyDescent="0.25"/>
  <sheetData>
    <row r="1" spans="1:5" ht="90" x14ac:dyDescent="0.25">
      <c r="A1" s="1" t="s">
        <v>152</v>
      </c>
      <c r="B1" s="1" t="s">
        <v>153</v>
      </c>
      <c r="C1" s="1" t="s">
        <v>154</v>
      </c>
      <c r="D1" s="5" t="s">
        <v>161</v>
      </c>
      <c r="E1" s="1" t="s">
        <v>155</v>
      </c>
    </row>
    <row r="2" spans="1:5" x14ac:dyDescent="0.25">
      <c r="A2" t="s">
        <v>22</v>
      </c>
      <c r="B2" s="3"/>
      <c r="C2" s="3"/>
      <c r="E2" s="8">
        <f>ProjectCost_Sorted!V2</f>
        <v>642.07140416841071</v>
      </c>
    </row>
    <row r="3" spans="1:5" x14ac:dyDescent="0.25">
      <c r="A3" t="s">
        <v>16</v>
      </c>
      <c r="B3" s="3"/>
      <c r="C3" s="3"/>
      <c r="E3" s="8">
        <f>ProjectCost_Sorted!W2</f>
        <v>685.01838628141309</v>
      </c>
    </row>
    <row r="4" spans="1:5" x14ac:dyDescent="0.25">
      <c r="A4" t="s">
        <v>20</v>
      </c>
      <c r="B4" s="3"/>
      <c r="C4" s="3"/>
      <c r="E4" s="8">
        <f>ProjectCost_Sorted!X2</f>
        <v>763.59369814554714</v>
      </c>
    </row>
    <row r="5" spans="1:5" x14ac:dyDescent="0.25">
      <c r="A5" t="s">
        <v>47</v>
      </c>
      <c r="B5" s="3"/>
      <c r="C5" s="3"/>
      <c r="E5" s="8">
        <f>ProjectCost_Sorted!Y2</f>
        <v>449.5778779028924</v>
      </c>
    </row>
    <row r="6" spans="1:5" x14ac:dyDescent="0.25">
      <c r="B6" s="3"/>
      <c r="C6" s="3"/>
      <c r="E6" s="8"/>
    </row>
    <row r="7" spans="1:5" x14ac:dyDescent="0.25">
      <c r="B7" s="3"/>
      <c r="C7" s="3"/>
      <c r="E7" s="3"/>
    </row>
    <row r="8" spans="1:5" x14ac:dyDescent="0.25">
      <c r="B8" s="3"/>
      <c r="C8" s="3"/>
      <c r="E8" s="3"/>
    </row>
    <row r="9" spans="1:5" x14ac:dyDescent="0.25">
      <c r="B9" s="3"/>
      <c r="C9" s="3"/>
      <c r="E9" s="3"/>
    </row>
    <row r="10" spans="1:5" x14ac:dyDescent="0.25">
      <c r="B10" s="3"/>
      <c r="C10" s="3"/>
      <c r="E10" s="3"/>
    </row>
    <row r="11" spans="1:5" x14ac:dyDescent="0.25">
      <c r="B11" s="3"/>
      <c r="C11" s="3"/>
      <c r="E11" s="3"/>
    </row>
    <row r="12" spans="1:5" x14ac:dyDescent="0.25">
      <c r="B12" s="3"/>
      <c r="C12" s="3"/>
      <c r="E12" s="3"/>
    </row>
    <row r="13" spans="1:5" x14ac:dyDescent="0.25">
      <c r="B13" s="3"/>
      <c r="C13" s="3"/>
      <c r="E13" s="3"/>
    </row>
    <row r="14" spans="1:5" x14ac:dyDescent="0.25">
      <c r="B14" s="3"/>
      <c r="C14" s="3"/>
      <c r="E14" s="3"/>
    </row>
    <row r="15" spans="1:5" x14ac:dyDescent="0.25">
      <c r="B15" s="3"/>
      <c r="C15" s="3"/>
      <c r="E15" s="3"/>
    </row>
    <row r="16" spans="1:5" x14ac:dyDescent="0.25">
      <c r="B16" s="3"/>
      <c r="C16" s="3"/>
      <c r="E16" s="3"/>
    </row>
    <row r="17" spans="2:5" x14ac:dyDescent="0.25">
      <c r="B17" s="3"/>
      <c r="C17" s="3"/>
      <c r="E17" s="3"/>
    </row>
    <row r="18" spans="2:5" x14ac:dyDescent="0.25">
      <c r="B18" s="3"/>
      <c r="C18" s="3"/>
      <c r="E18" s="3"/>
    </row>
    <row r="19" spans="2:5" x14ac:dyDescent="0.25">
      <c r="B19" s="3"/>
      <c r="C19" s="3"/>
      <c r="E19" s="3"/>
    </row>
    <row r="20" spans="2:5" x14ac:dyDescent="0.25">
      <c r="B20" s="3"/>
      <c r="C20" s="3"/>
      <c r="E20" s="3"/>
    </row>
    <row r="21" spans="2:5" x14ac:dyDescent="0.25">
      <c r="B21" s="3"/>
      <c r="C21" s="3"/>
      <c r="E21" s="3"/>
    </row>
    <row r="22" spans="2:5" x14ac:dyDescent="0.25">
      <c r="B22" s="3"/>
      <c r="C22" s="3"/>
      <c r="E22" s="3"/>
    </row>
    <row r="23" spans="2:5" x14ac:dyDescent="0.25">
      <c r="B23" s="3"/>
      <c r="C23" s="3"/>
      <c r="E23" s="3"/>
    </row>
    <row r="24" spans="2:5" x14ac:dyDescent="0.25">
      <c r="B24" s="3"/>
      <c r="C24" s="3"/>
      <c r="E24" s="3"/>
    </row>
    <row r="25" spans="2:5" x14ac:dyDescent="0.25">
      <c r="B25" s="3"/>
      <c r="C25" s="3"/>
      <c r="E25" s="3"/>
    </row>
    <row r="26" spans="2:5" x14ac:dyDescent="0.25">
      <c r="B26" s="3"/>
      <c r="C26" s="3"/>
      <c r="E26" s="3"/>
    </row>
    <row r="27" spans="2:5" x14ac:dyDescent="0.25">
      <c r="B27" s="3"/>
      <c r="C27" s="3"/>
      <c r="E27" s="3"/>
    </row>
    <row r="28" spans="2:5" x14ac:dyDescent="0.25">
      <c r="B28" s="3"/>
      <c r="C28" s="3"/>
      <c r="E28" s="3"/>
    </row>
    <row r="29" spans="2:5" x14ac:dyDescent="0.25">
      <c r="B29" s="3"/>
      <c r="C29" s="3"/>
      <c r="E29" s="3"/>
    </row>
    <row r="30" spans="2:5" x14ac:dyDescent="0.25">
      <c r="B30" s="3"/>
      <c r="C30" s="3"/>
      <c r="E30" s="3"/>
    </row>
    <row r="31" spans="2:5" x14ac:dyDescent="0.25">
      <c r="B31" s="3"/>
      <c r="C31" s="3"/>
      <c r="E31" s="3"/>
    </row>
    <row r="32" spans="2:5" x14ac:dyDescent="0.25">
      <c r="B32" s="3"/>
      <c r="C32" s="3"/>
      <c r="E32" s="3"/>
    </row>
    <row r="33" spans="2:5" x14ac:dyDescent="0.25">
      <c r="B33" s="3"/>
      <c r="C33" s="3"/>
      <c r="E33" s="3"/>
    </row>
    <row r="34" spans="2:5" x14ac:dyDescent="0.25">
      <c r="B34" s="3"/>
      <c r="C34" s="3"/>
      <c r="E34" s="3"/>
    </row>
    <row r="35" spans="2:5" x14ac:dyDescent="0.25">
      <c r="B35" s="3"/>
      <c r="C35" s="3"/>
      <c r="E35" s="3"/>
    </row>
    <row r="36" spans="2:5" x14ac:dyDescent="0.25">
      <c r="B36" s="3"/>
      <c r="C36" s="3"/>
      <c r="E36" s="3"/>
    </row>
    <row r="37" spans="2:5" x14ac:dyDescent="0.25">
      <c r="B37" s="3"/>
      <c r="C37" s="3"/>
      <c r="E37" s="3"/>
    </row>
    <row r="38" spans="2:5" x14ac:dyDescent="0.25">
      <c r="B38" s="3"/>
      <c r="C38" s="3"/>
      <c r="E38" s="3"/>
    </row>
    <row r="39" spans="2:5" x14ac:dyDescent="0.25">
      <c r="B39" s="3"/>
      <c r="C39" s="3"/>
      <c r="E39" s="3"/>
    </row>
    <row r="40" spans="2:5" x14ac:dyDescent="0.25">
      <c r="B40" s="3"/>
      <c r="C40" s="3"/>
      <c r="E40" s="3"/>
    </row>
    <row r="41" spans="2:5" x14ac:dyDescent="0.25">
      <c r="B41" s="3"/>
      <c r="C41" s="3"/>
      <c r="E41" s="3"/>
    </row>
    <row r="42" spans="2:5" x14ac:dyDescent="0.25">
      <c r="B42" s="3"/>
      <c r="C42" s="3"/>
      <c r="E42" s="3"/>
    </row>
    <row r="43" spans="2:5" x14ac:dyDescent="0.25">
      <c r="B43" s="3"/>
      <c r="C43" s="3"/>
      <c r="E43" s="3"/>
    </row>
    <row r="44" spans="2:5" x14ac:dyDescent="0.25">
      <c r="B44" s="3"/>
      <c r="C44" s="3"/>
      <c r="E44" s="3"/>
    </row>
    <row r="45" spans="2:5" x14ac:dyDescent="0.25">
      <c r="B45" s="3"/>
      <c r="C45" s="3"/>
      <c r="E45" s="3"/>
    </row>
    <row r="46" spans="2:5" x14ac:dyDescent="0.25">
      <c r="B46" s="3"/>
      <c r="C46" s="3"/>
      <c r="E46" s="3"/>
    </row>
    <row r="47" spans="2:5" x14ac:dyDescent="0.25">
      <c r="B47" s="3"/>
      <c r="C47" s="3"/>
      <c r="E47" s="3"/>
    </row>
    <row r="48" spans="2:5" x14ac:dyDescent="0.25">
      <c r="B48" s="3"/>
      <c r="C48" s="3"/>
      <c r="E48" s="3"/>
    </row>
    <row r="49" spans="2:5" x14ac:dyDescent="0.25">
      <c r="B49" s="3"/>
      <c r="C49" s="3"/>
      <c r="E49" s="3"/>
    </row>
    <row r="50" spans="2:5" x14ac:dyDescent="0.25">
      <c r="B50" s="3"/>
      <c r="C50" s="3"/>
      <c r="E50" s="3"/>
    </row>
    <row r="51" spans="2:5" x14ac:dyDescent="0.25">
      <c r="B51" s="3"/>
      <c r="C51" s="3"/>
      <c r="E51" s="3"/>
    </row>
    <row r="52" spans="2:5" x14ac:dyDescent="0.25">
      <c r="B52" s="3"/>
      <c r="C52" s="3"/>
      <c r="E52" s="3"/>
    </row>
    <row r="53" spans="2:5" x14ac:dyDescent="0.25">
      <c r="B53" s="3"/>
      <c r="C53" s="3"/>
      <c r="E53" s="3"/>
    </row>
    <row r="54" spans="2:5" x14ac:dyDescent="0.25">
      <c r="B54" s="3"/>
      <c r="C54" s="3"/>
      <c r="E54" s="3"/>
    </row>
    <row r="55" spans="2:5" x14ac:dyDescent="0.25">
      <c r="B55" s="3"/>
      <c r="C55" s="3"/>
      <c r="E55" s="3"/>
    </row>
    <row r="56" spans="2:5" x14ac:dyDescent="0.25">
      <c r="B56" s="3"/>
      <c r="C56" s="3"/>
      <c r="E56" s="3"/>
    </row>
    <row r="57" spans="2:5" x14ac:dyDescent="0.25">
      <c r="B57" s="3"/>
      <c r="C57" s="3"/>
      <c r="E57" s="3"/>
    </row>
    <row r="58" spans="2:5" x14ac:dyDescent="0.25">
      <c r="B58" s="3"/>
      <c r="C58" s="3"/>
      <c r="E58" s="3"/>
    </row>
    <row r="59" spans="2:5" x14ac:dyDescent="0.25">
      <c r="B59" s="3"/>
      <c r="C59" s="3"/>
      <c r="E59" s="3"/>
    </row>
    <row r="60" spans="2:5" x14ac:dyDescent="0.25">
      <c r="B60" s="3"/>
      <c r="C60" s="3"/>
      <c r="E60" s="3"/>
    </row>
    <row r="61" spans="2:5" x14ac:dyDescent="0.25">
      <c r="B61" s="3"/>
      <c r="C61" s="3"/>
      <c r="E61" s="3"/>
    </row>
    <row r="62" spans="2:5" x14ac:dyDescent="0.25">
      <c r="B62" s="3"/>
      <c r="C62" s="3"/>
      <c r="E62" s="3"/>
    </row>
    <row r="63" spans="2:5" x14ac:dyDescent="0.25">
      <c r="B63" s="3"/>
      <c r="C63" s="3"/>
      <c r="E63" s="3"/>
    </row>
    <row r="64" spans="2:5" x14ac:dyDescent="0.25">
      <c r="B64" s="3"/>
      <c r="C64" s="3"/>
      <c r="E64" s="3"/>
    </row>
    <row r="65" spans="2:5" x14ac:dyDescent="0.25">
      <c r="B65" s="3"/>
      <c r="C65" s="3"/>
      <c r="E65" s="3"/>
    </row>
    <row r="66" spans="2:5" x14ac:dyDescent="0.25">
      <c r="B66" s="3"/>
      <c r="C66" s="3"/>
      <c r="E66" s="3"/>
    </row>
    <row r="67" spans="2:5" x14ac:dyDescent="0.25">
      <c r="B67" s="3"/>
      <c r="C67" s="3"/>
      <c r="E67" s="3"/>
    </row>
    <row r="68" spans="2:5" x14ac:dyDescent="0.25">
      <c r="B68" s="3"/>
      <c r="C68" s="3"/>
      <c r="E68" s="3"/>
    </row>
    <row r="69" spans="2:5" x14ac:dyDescent="0.25">
      <c r="B69" s="3"/>
      <c r="C69" s="3"/>
      <c r="E69" s="3"/>
    </row>
    <row r="70" spans="2:5" x14ac:dyDescent="0.25">
      <c r="B70" s="3"/>
      <c r="C70" s="3"/>
      <c r="E70" s="3"/>
    </row>
    <row r="71" spans="2:5" x14ac:dyDescent="0.25">
      <c r="B71" s="3"/>
      <c r="C71" s="3"/>
      <c r="E71" s="3"/>
    </row>
    <row r="72" spans="2:5" x14ac:dyDescent="0.25">
      <c r="B72" s="3"/>
      <c r="C72" s="3"/>
      <c r="E72" s="3"/>
    </row>
    <row r="73" spans="2:5" x14ac:dyDescent="0.25">
      <c r="B73" s="3"/>
      <c r="C73" s="3"/>
      <c r="E73" s="3"/>
    </row>
    <row r="74" spans="2:5" x14ac:dyDescent="0.25">
      <c r="B74" s="3"/>
      <c r="C74" s="3"/>
      <c r="E74" s="3"/>
    </row>
    <row r="75" spans="2:5" x14ac:dyDescent="0.25">
      <c r="B75" s="3"/>
      <c r="C75" s="3"/>
      <c r="E75" s="3"/>
    </row>
    <row r="76" spans="2:5" x14ac:dyDescent="0.25">
      <c r="B76" s="3"/>
      <c r="C76" s="3"/>
      <c r="E76" s="3"/>
    </row>
    <row r="77" spans="2:5" x14ac:dyDescent="0.25">
      <c r="B77" s="3"/>
      <c r="C77" s="3"/>
      <c r="E77" s="3"/>
    </row>
    <row r="78" spans="2:5" x14ac:dyDescent="0.25">
      <c r="B78" s="3"/>
      <c r="C78" s="3"/>
      <c r="E78" s="3"/>
    </row>
    <row r="79" spans="2:5" x14ac:dyDescent="0.25">
      <c r="B79" s="3"/>
      <c r="C79" s="3"/>
      <c r="E79" s="3"/>
    </row>
    <row r="80" spans="2:5" x14ac:dyDescent="0.25">
      <c r="B80" s="3"/>
      <c r="C80" s="3"/>
      <c r="E80" s="3"/>
    </row>
    <row r="81" spans="2:5" x14ac:dyDescent="0.25">
      <c r="B81" s="3"/>
      <c r="C81" s="3"/>
      <c r="E81" s="3"/>
    </row>
    <row r="82" spans="2:5" x14ac:dyDescent="0.25">
      <c r="B82" s="3"/>
      <c r="C82" s="3"/>
      <c r="E82" s="3"/>
    </row>
    <row r="83" spans="2:5" x14ac:dyDescent="0.25">
      <c r="B83" s="3"/>
      <c r="C83" s="3"/>
      <c r="E83" s="3"/>
    </row>
    <row r="84" spans="2:5" x14ac:dyDescent="0.25">
      <c r="B84" s="3"/>
      <c r="C84" s="3"/>
      <c r="E84" s="3"/>
    </row>
    <row r="85" spans="2:5" x14ac:dyDescent="0.25">
      <c r="B85" s="3"/>
      <c r="C85" s="3"/>
      <c r="E85" s="3"/>
    </row>
    <row r="86" spans="2:5" x14ac:dyDescent="0.25">
      <c r="B86" s="3"/>
      <c r="C86" s="3"/>
      <c r="E86" s="3"/>
    </row>
    <row r="87" spans="2:5" x14ac:dyDescent="0.25">
      <c r="B87" s="3"/>
      <c r="C87" s="3"/>
      <c r="E87" s="3"/>
    </row>
    <row r="88" spans="2:5" x14ac:dyDescent="0.25">
      <c r="B88" s="3"/>
      <c r="C88" s="3"/>
      <c r="E88" s="3"/>
    </row>
    <row r="89" spans="2:5" x14ac:dyDescent="0.25">
      <c r="B89" s="3"/>
      <c r="C89" s="3"/>
      <c r="E89" s="3"/>
    </row>
    <row r="90" spans="2:5" x14ac:dyDescent="0.25">
      <c r="B90" s="3"/>
      <c r="C90" s="3"/>
      <c r="E90" s="3"/>
    </row>
    <row r="91" spans="2:5" x14ac:dyDescent="0.25">
      <c r="B91" s="3"/>
      <c r="C91" s="3"/>
      <c r="E91" s="3"/>
    </row>
    <row r="92" spans="2:5" x14ac:dyDescent="0.25">
      <c r="B92" s="3"/>
      <c r="C92" s="3"/>
      <c r="E92" s="3"/>
    </row>
    <row r="93" spans="2:5" x14ac:dyDescent="0.25">
      <c r="B93" s="3"/>
      <c r="C93" s="3"/>
      <c r="E93" s="3"/>
    </row>
    <row r="94" spans="2:5" x14ac:dyDescent="0.25">
      <c r="B94" s="3"/>
      <c r="C94" s="3"/>
      <c r="E94" s="3"/>
    </row>
    <row r="95" spans="2:5" x14ac:dyDescent="0.25">
      <c r="B95" s="3"/>
      <c r="C95" s="3"/>
      <c r="E95" s="3"/>
    </row>
    <row r="96" spans="2:5" x14ac:dyDescent="0.25">
      <c r="B96" s="3"/>
      <c r="C96" s="3"/>
      <c r="E96" s="3"/>
    </row>
    <row r="97" spans="2:5" x14ac:dyDescent="0.25">
      <c r="B97" s="3"/>
      <c r="C97" s="3"/>
      <c r="E97" s="3"/>
    </row>
    <row r="98" spans="2:5" x14ac:dyDescent="0.25">
      <c r="B98" s="3"/>
      <c r="C98" s="3"/>
      <c r="E98" s="3"/>
    </row>
    <row r="99" spans="2:5" x14ac:dyDescent="0.25">
      <c r="B99" s="3"/>
      <c r="C99" s="3"/>
      <c r="E99" s="3"/>
    </row>
    <row r="100" spans="2:5" x14ac:dyDescent="0.25">
      <c r="B100" s="3"/>
      <c r="C100" s="3"/>
      <c r="E100" s="3"/>
    </row>
    <row r="101" spans="2:5" x14ac:dyDescent="0.25">
      <c r="B101" s="3"/>
      <c r="C101" s="3"/>
      <c r="E101" s="3"/>
    </row>
    <row r="102" spans="2:5" x14ac:dyDescent="0.25">
      <c r="B102" s="3"/>
      <c r="C102" s="3"/>
      <c r="E102" s="3"/>
    </row>
    <row r="103" spans="2:5" x14ac:dyDescent="0.25">
      <c r="B103" s="3"/>
      <c r="C103" s="3"/>
      <c r="E103" s="3"/>
    </row>
    <row r="104" spans="2:5" x14ac:dyDescent="0.25">
      <c r="B104" s="3"/>
      <c r="C104" s="3"/>
      <c r="E104" s="3"/>
    </row>
    <row r="105" spans="2:5" x14ac:dyDescent="0.25">
      <c r="B105" s="3"/>
      <c r="C105" s="3"/>
      <c r="E105" s="3"/>
    </row>
    <row r="106" spans="2:5" x14ac:dyDescent="0.25">
      <c r="B106" s="3"/>
      <c r="C106" s="3"/>
      <c r="E106" s="3"/>
    </row>
    <row r="107" spans="2:5" x14ac:dyDescent="0.25">
      <c r="B107" s="3"/>
      <c r="C107" s="3"/>
      <c r="E107" s="3"/>
    </row>
    <row r="108" spans="2:5" x14ac:dyDescent="0.25">
      <c r="B108" s="3"/>
      <c r="C108" s="3"/>
      <c r="E108" s="3"/>
    </row>
    <row r="109" spans="2:5" x14ac:dyDescent="0.25">
      <c r="B109" s="3"/>
      <c r="C109" s="3"/>
      <c r="E109" s="3"/>
    </row>
    <row r="110" spans="2:5" x14ac:dyDescent="0.25">
      <c r="B110" s="3"/>
      <c r="C110" s="3"/>
      <c r="E110" s="3"/>
    </row>
    <row r="111" spans="2:5" x14ac:dyDescent="0.25">
      <c r="B111" s="3"/>
      <c r="C111" s="3"/>
      <c r="E111" s="3"/>
    </row>
    <row r="112" spans="2:5" x14ac:dyDescent="0.25">
      <c r="B112" s="3"/>
      <c r="C112" s="3"/>
      <c r="E112" s="3"/>
    </row>
    <row r="113" spans="2:5" x14ac:dyDescent="0.25">
      <c r="B113" s="3"/>
      <c r="C113" s="3"/>
      <c r="E113" s="3"/>
    </row>
    <row r="114" spans="2:5" x14ac:dyDescent="0.25">
      <c r="B114" s="3"/>
      <c r="C114" s="3"/>
      <c r="E114" s="3"/>
    </row>
    <row r="115" spans="2:5" x14ac:dyDescent="0.25">
      <c r="B115" s="3"/>
      <c r="C115" s="3"/>
      <c r="E115" s="3"/>
    </row>
    <row r="116" spans="2:5" x14ac:dyDescent="0.25">
      <c r="B116" s="3"/>
      <c r="C116" s="3"/>
      <c r="E116" s="3"/>
    </row>
    <row r="117" spans="2:5" x14ac:dyDescent="0.25">
      <c r="B117" s="3"/>
      <c r="C117" s="3"/>
      <c r="E117" s="3"/>
    </row>
    <row r="118" spans="2:5" x14ac:dyDescent="0.25">
      <c r="B118" s="3"/>
      <c r="C118" s="3"/>
      <c r="E118" s="3"/>
    </row>
    <row r="119" spans="2:5" x14ac:dyDescent="0.25">
      <c r="B119" s="3"/>
      <c r="C119" s="3"/>
      <c r="E119" s="3"/>
    </row>
    <row r="120" spans="2:5" x14ac:dyDescent="0.25">
      <c r="B120" s="3"/>
      <c r="C120" s="3"/>
      <c r="E120" s="3"/>
    </row>
    <row r="121" spans="2:5" x14ac:dyDescent="0.25">
      <c r="B121" s="3"/>
      <c r="C121" s="3"/>
      <c r="E121" s="3"/>
    </row>
    <row r="122" spans="2:5" x14ac:dyDescent="0.25">
      <c r="B122" s="3"/>
      <c r="C122" s="3"/>
      <c r="E122" s="3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22"/>
  <sheetViews>
    <sheetView tabSelected="1" zoomScaleNormal="100" workbookViewId="0">
      <pane ySplit="1" topLeftCell="A126" activePane="bottomLeft" state="frozen"/>
      <selection pane="bottomLeft" activeCell="P2" sqref="P2"/>
    </sheetView>
  </sheetViews>
  <sheetFormatPr defaultRowHeight="15" x14ac:dyDescent="0.25"/>
  <cols>
    <col min="14" max="14" width="14.85546875" customWidth="1"/>
    <col min="15" max="15" width="16.7109375" customWidth="1"/>
    <col min="17" max="17" width="10.85546875" customWidth="1"/>
    <col min="18" max="20" width="13" customWidth="1"/>
    <col min="22" max="22" width="8.85546875" customWidth="1"/>
    <col min="23" max="23" width="8.5703125" customWidth="1"/>
    <col min="24" max="25" width="7.85546875" customWidth="1"/>
    <col min="29" max="29" width="11" customWidth="1"/>
  </cols>
  <sheetData>
    <row r="1" spans="1:2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156</v>
      </c>
      <c r="O1" s="5" t="s">
        <v>157</v>
      </c>
      <c r="P1" s="1" t="s">
        <v>13</v>
      </c>
      <c r="Q1" s="1" t="s">
        <v>14</v>
      </c>
      <c r="R1" s="1" t="s">
        <v>159</v>
      </c>
      <c r="V1" t="s">
        <v>22</v>
      </c>
      <c r="W1" t="s">
        <v>16</v>
      </c>
      <c r="X1" t="s">
        <v>20</v>
      </c>
      <c r="Y1" t="s">
        <v>47</v>
      </c>
    </row>
    <row r="2" spans="1:25" x14ac:dyDescent="0.25">
      <c r="B2" t="s">
        <v>101</v>
      </c>
      <c r="C2" t="s">
        <v>102</v>
      </c>
      <c r="D2" t="s">
        <v>16</v>
      </c>
      <c r="F2" t="s">
        <v>17</v>
      </c>
      <c r="G2">
        <v>450</v>
      </c>
      <c r="H2">
        <v>450</v>
      </c>
      <c r="I2" t="s">
        <v>29</v>
      </c>
      <c r="J2" s="2">
        <v>1106.860924391827</v>
      </c>
      <c r="K2" s="3">
        <v>2459.6909430929481</v>
      </c>
      <c r="L2" s="2">
        <v>0</v>
      </c>
      <c r="M2" s="3">
        <v>0</v>
      </c>
      <c r="N2" s="7">
        <v>40.65</v>
      </c>
      <c r="O2" s="4">
        <f t="shared" ref="O2:O33" si="0">(N2/G2)*1000</f>
        <v>90.333333333333329</v>
      </c>
      <c r="P2" s="2">
        <f t="shared" ref="P2:P33" si="1">SUM(J2,L2,N2)</f>
        <v>1147.5109243918271</v>
      </c>
      <c r="Q2" s="3">
        <f t="shared" ref="Q2:Q33" si="2">(P2/G2)*1000</f>
        <v>2550.0242764262825</v>
      </c>
      <c r="V2">
        <f t="shared" ref="V2:V33" si="3">AVERAGEIF($D$2:$D$122, "AR", $Q$2:$Q$122)</f>
        <v>642.07140416841071</v>
      </c>
      <c r="W2">
        <f t="shared" ref="W2:W33" si="4">AVERAGEIF($D$2:$D$122, "LA", $Q$2:$Q$122)</f>
        <v>685.01838628141309</v>
      </c>
      <c r="X2">
        <f t="shared" ref="X2:X33" si="5">AVERAGEIF($D$2:$D$122, "MS", $Q$2:$Q$122)</f>
        <v>763.59369814554714</v>
      </c>
      <c r="Y2">
        <f t="shared" ref="Y2:Y32" si="6">AVERAGEIF($D$2:$D$122, "TX", $Q$2:$Q$122)</f>
        <v>449.5778779028924</v>
      </c>
    </row>
    <row r="3" spans="1:25" x14ac:dyDescent="0.25">
      <c r="B3" t="s">
        <v>129</v>
      </c>
      <c r="D3" t="s">
        <v>22</v>
      </c>
      <c r="F3" t="s">
        <v>24</v>
      </c>
      <c r="G3">
        <v>105</v>
      </c>
      <c r="H3">
        <v>105</v>
      </c>
      <c r="I3" t="s">
        <v>18</v>
      </c>
      <c r="J3" s="2">
        <v>30.463924124076161</v>
      </c>
      <c r="K3" s="3">
        <v>290.13261070548731</v>
      </c>
      <c r="L3" s="2">
        <v>173.77699999999999</v>
      </c>
      <c r="M3" s="3">
        <v>1655.0190476190469</v>
      </c>
      <c r="N3" s="7">
        <v>22.6</v>
      </c>
      <c r="O3" s="4">
        <f t="shared" si="0"/>
        <v>215.23809523809527</v>
      </c>
      <c r="P3" s="2">
        <f t="shared" si="1"/>
        <v>226.84092412407614</v>
      </c>
      <c r="Q3" s="3">
        <f t="shared" si="2"/>
        <v>2160.3897535626302</v>
      </c>
      <c r="V3">
        <f>AVERAGEIF($D$2:$D$122, "AR", $Q$2:$Q$122)</f>
        <v>642.07140416841071</v>
      </c>
      <c r="W3">
        <f t="shared" si="4"/>
        <v>685.01838628141309</v>
      </c>
      <c r="X3">
        <f t="shared" si="5"/>
        <v>763.59369814554714</v>
      </c>
      <c r="Y3">
        <f t="shared" si="6"/>
        <v>449.5778779028924</v>
      </c>
    </row>
    <row r="4" spans="1:25" x14ac:dyDescent="0.25">
      <c r="B4" t="s">
        <v>66</v>
      </c>
      <c r="D4" t="s">
        <v>16</v>
      </c>
      <c r="F4" t="s">
        <v>24</v>
      </c>
      <c r="G4">
        <v>180</v>
      </c>
      <c r="H4">
        <v>180</v>
      </c>
      <c r="I4" t="s">
        <v>18</v>
      </c>
      <c r="J4" s="2">
        <v>129.05462238966979</v>
      </c>
      <c r="K4" s="3">
        <v>716.9701243870544</v>
      </c>
      <c r="L4" s="2">
        <v>81.000999999999991</v>
      </c>
      <c r="M4" s="3">
        <v>450.00555555555547</v>
      </c>
      <c r="N4" s="7">
        <v>147.892</v>
      </c>
      <c r="O4" s="4">
        <f t="shared" si="0"/>
        <v>821.62222222222226</v>
      </c>
      <c r="P4" s="2">
        <f t="shared" si="1"/>
        <v>357.94762238966979</v>
      </c>
      <c r="Q4" s="3">
        <f t="shared" si="2"/>
        <v>1988.597902164832</v>
      </c>
      <c r="V4">
        <f t="shared" si="3"/>
        <v>642.07140416841071</v>
      </c>
      <c r="W4">
        <f t="shared" si="4"/>
        <v>685.01838628141309</v>
      </c>
      <c r="X4">
        <f t="shared" si="5"/>
        <v>763.59369814554714</v>
      </c>
      <c r="Y4">
        <f t="shared" si="6"/>
        <v>449.5778779028924</v>
      </c>
    </row>
    <row r="5" spans="1:25" x14ac:dyDescent="0.25">
      <c r="B5" t="s">
        <v>90</v>
      </c>
      <c r="D5" t="s">
        <v>20</v>
      </c>
      <c r="F5" t="s">
        <v>24</v>
      </c>
      <c r="G5">
        <v>150</v>
      </c>
      <c r="H5">
        <v>150</v>
      </c>
      <c r="I5" t="s">
        <v>29</v>
      </c>
      <c r="J5" s="2">
        <v>152.14539026289339</v>
      </c>
      <c r="K5" s="3">
        <v>1014.302601752623</v>
      </c>
      <c r="L5" s="2">
        <v>97.419999999999945</v>
      </c>
      <c r="M5" s="3">
        <v>649.46666666666636</v>
      </c>
      <c r="N5" s="7">
        <v>19.2</v>
      </c>
      <c r="O5" s="4">
        <f t="shared" si="0"/>
        <v>128</v>
      </c>
      <c r="P5" s="2">
        <f t="shared" si="1"/>
        <v>268.76539026289333</v>
      </c>
      <c r="Q5" s="3">
        <f t="shared" si="2"/>
        <v>1791.7692684192889</v>
      </c>
      <c r="V5">
        <f t="shared" si="3"/>
        <v>642.07140416841071</v>
      </c>
      <c r="W5">
        <f t="shared" si="4"/>
        <v>685.01838628141309</v>
      </c>
      <c r="X5">
        <f t="shared" si="5"/>
        <v>763.59369814554714</v>
      </c>
      <c r="Y5">
        <f t="shared" si="6"/>
        <v>449.5778779028924</v>
      </c>
    </row>
    <row r="6" spans="1:25" x14ac:dyDescent="0.25">
      <c r="B6" t="s">
        <v>133</v>
      </c>
      <c r="D6" t="s">
        <v>22</v>
      </c>
      <c r="F6" t="s">
        <v>24</v>
      </c>
      <c r="G6">
        <v>120</v>
      </c>
      <c r="H6">
        <v>120</v>
      </c>
      <c r="I6" t="s">
        <v>29</v>
      </c>
      <c r="J6" s="2">
        <v>111.7054950311058</v>
      </c>
      <c r="K6" s="3">
        <v>930.87912525921502</v>
      </c>
      <c r="L6" s="2">
        <v>74.025999999999954</v>
      </c>
      <c r="M6" s="3">
        <v>616.88333333333287</v>
      </c>
      <c r="N6" s="7">
        <v>22.864999999999998</v>
      </c>
      <c r="O6" s="4">
        <f t="shared" si="0"/>
        <v>190.54166666666666</v>
      </c>
      <c r="P6" s="2">
        <f t="shared" si="1"/>
        <v>208.59649503110575</v>
      </c>
      <c r="Q6" s="3">
        <f t="shared" si="2"/>
        <v>1738.3041252592145</v>
      </c>
      <c r="V6">
        <f t="shared" si="3"/>
        <v>642.07140416841071</v>
      </c>
      <c r="W6">
        <f t="shared" si="4"/>
        <v>685.01838628141309</v>
      </c>
      <c r="X6">
        <f t="shared" si="5"/>
        <v>763.59369814554714</v>
      </c>
      <c r="Y6">
        <f t="shared" si="6"/>
        <v>449.5778779028924</v>
      </c>
    </row>
    <row r="7" spans="1:25" x14ac:dyDescent="0.25">
      <c r="B7" t="s">
        <v>146</v>
      </c>
      <c r="D7" t="s">
        <v>20</v>
      </c>
      <c r="F7" t="s">
        <v>24</v>
      </c>
      <c r="G7">
        <v>100</v>
      </c>
      <c r="H7">
        <v>100</v>
      </c>
      <c r="I7" t="s">
        <v>29</v>
      </c>
      <c r="J7" s="2">
        <v>24.247605088122111</v>
      </c>
      <c r="K7" s="3">
        <v>242.47605088122111</v>
      </c>
      <c r="L7" s="2">
        <v>100.104</v>
      </c>
      <c r="M7" s="3">
        <v>1001.04</v>
      </c>
      <c r="N7" s="7">
        <v>16.489999999999998</v>
      </c>
      <c r="O7" s="4">
        <f t="shared" si="0"/>
        <v>164.89999999999998</v>
      </c>
      <c r="P7" s="2">
        <f t="shared" si="1"/>
        <v>140.84160508812212</v>
      </c>
      <c r="Q7" s="3">
        <f t="shared" si="2"/>
        <v>1408.4160508812211</v>
      </c>
      <c r="V7">
        <f t="shared" si="3"/>
        <v>642.07140416841071</v>
      </c>
      <c r="W7">
        <f t="shared" si="4"/>
        <v>685.01838628141309</v>
      </c>
      <c r="X7">
        <f t="shared" si="5"/>
        <v>763.59369814554714</v>
      </c>
      <c r="Y7">
        <f t="shared" si="6"/>
        <v>449.5778779028924</v>
      </c>
    </row>
    <row r="8" spans="1:25" x14ac:dyDescent="0.25">
      <c r="B8" t="s">
        <v>151</v>
      </c>
      <c r="D8" t="s">
        <v>20</v>
      </c>
      <c r="F8" t="s">
        <v>24</v>
      </c>
      <c r="G8">
        <v>100</v>
      </c>
      <c r="H8">
        <v>100</v>
      </c>
      <c r="I8" t="s">
        <v>29</v>
      </c>
      <c r="J8" s="2">
        <v>84.38524201164789</v>
      </c>
      <c r="K8" s="3">
        <v>843.85242011647892</v>
      </c>
      <c r="L8" s="2">
        <v>36.499000000000002</v>
      </c>
      <c r="M8" s="3">
        <v>364.99</v>
      </c>
      <c r="N8" s="7">
        <v>11.5</v>
      </c>
      <c r="O8" s="4">
        <f t="shared" si="0"/>
        <v>115</v>
      </c>
      <c r="P8" s="2">
        <f t="shared" si="1"/>
        <v>132.3842420116479</v>
      </c>
      <c r="Q8" s="3">
        <f t="shared" si="2"/>
        <v>1323.8424201164789</v>
      </c>
      <c r="V8">
        <f t="shared" si="3"/>
        <v>642.07140416841071</v>
      </c>
      <c r="W8">
        <f t="shared" si="4"/>
        <v>685.01838628141309</v>
      </c>
      <c r="X8">
        <f t="shared" si="5"/>
        <v>763.59369814554714</v>
      </c>
      <c r="Y8">
        <f t="shared" si="6"/>
        <v>449.5778779028924</v>
      </c>
    </row>
    <row r="9" spans="1:25" x14ac:dyDescent="0.25">
      <c r="B9" t="s">
        <v>136</v>
      </c>
      <c r="D9" t="s">
        <v>16</v>
      </c>
      <c r="F9" t="s">
        <v>24</v>
      </c>
      <c r="G9">
        <v>160</v>
      </c>
      <c r="H9">
        <v>160</v>
      </c>
      <c r="I9" t="s">
        <v>29</v>
      </c>
      <c r="J9" s="2">
        <v>83.545429185595225</v>
      </c>
      <c r="K9" s="3">
        <v>522.15893240997013</v>
      </c>
      <c r="L9" s="2">
        <v>121.43600000000001</v>
      </c>
      <c r="M9" s="3">
        <v>758.9749999999998</v>
      </c>
      <c r="N9" s="7">
        <v>3.4197120000000001</v>
      </c>
      <c r="O9" s="4">
        <f t="shared" si="0"/>
        <v>21.373200000000001</v>
      </c>
      <c r="P9" s="2">
        <f t="shared" si="1"/>
        <v>208.40114118559524</v>
      </c>
      <c r="Q9" s="3">
        <f t="shared" si="2"/>
        <v>1302.5071324099702</v>
      </c>
      <c r="V9">
        <f t="shared" si="3"/>
        <v>642.07140416841071</v>
      </c>
      <c r="W9">
        <f t="shared" si="4"/>
        <v>685.01838628141309</v>
      </c>
      <c r="X9">
        <f t="shared" si="5"/>
        <v>763.59369814554714</v>
      </c>
      <c r="Y9">
        <f t="shared" si="6"/>
        <v>449.5778779028924</v>
      </c>
    </row>
    <row r="10" spans="1:25" x14ac:dyDescent="0.25">
      <c r="B10" t="s">
        <v>109</v>
      </c>
      <c r="D10" t="s">
        <v>16</v>
      </c>
      <c r="F10" t="s">
        <v>24</v>
      </c>
      <c r="G10">
        <v>100</v>
      </c>
      <c r="H10">
        <v>100</v>
      </c>
      <c r="I10" t="s">
        <v>29</v>
      </c>
      <c r="J10" s="2">
        <v>48.985477624026878</v>
      </c>
      <c r="K10" s="3">
        <v>489.85477624026879</v>
      </c>
      <c r="L10" s="2">
        <v>75.911999999999978</v>
      </c>
      <c r="M10" s="3">
        <v>759.11999999999978</v>
      </c>
      <c r="N10" s="7">
        <v>3.5724049999999998</v>
      </c>
      <c r="O10" s="4">
        <f t="shared" si="0"/>
        <v>35.724049999999998</v>
      </c>
      <c r="P10" s="2">
        <f t="shared" si="1"/>
        <v>128.46988262402687</v>
      </c>
      <c r="Q10" s="3">
        <f t="shared" si="2"/>
        <v>1284.6988262402688</v>
      </c>
      <c r="V10">
        <f t="shared" si="3"/>
        <v>642.07140416841071</v>
      </c>
      <c r="W10">
        <f t="shared" si="4"/>
        <v>685.01838628141309</v>
      </c>
      <c r="X10">
        <f t="shared" si="5"/>
        <v>763.59369814554714</v>
      </c>
      <c r="Y10">
        <f t="shared" si="6"/>
        <v>449.5778779028924</v>
      </c>
    </row>
    <row r="11" spans="1:25" x14ac:dyDescent="0.25">
      <c r="B11" t="s">
        <v>78</v>
      </c>
      <c r="D11" t="s">
        <v>22</v>
      </c>
      <c r="F11" t="s">
        <v>24</v>
      </c>
      <c r="G11">
        <v>100</v>
      </c>
      <c r="H11">
        <v>100</v>
      </c>
      <c r="I11" t="s">
        <v>29</v>
      </c>
      <c r="J11" s="2">
        <v>3.4841535711442302</v>
      </c>
      <c r="K11" s="3">
        <v>34.841535711442297</v>
      </c>
      <c r="L11" s="2">
        <v>91.470000000000041</v>
      </c>
      <c r="M11" s="3">
        <v>914.70000000000039</v>
      </c>
      <c r="N11" s="7">
        <v>30.92</v>
      </c>
      <c r="O11" s="4">
        <f t="shared" si="0"/>
        <v>309.20000000000005</v>
      </c>
      <c r="P11" s="2">
        <f t="shared" si="1"/>
        <v>125.87415357114428</v>
      </c>
      <c r="Q11" s="3">
        <f t="shared" si="2"/>
        <v>1258.7415357114428</v>
      </c>
      <c r="V11">
        <f t="shared" si="3"/>
        <v>642.07140416841071</v>
      </c>
      <c r="W11">
        <f t="shared" si="4"/>
        <v>685.01838628141309</v>
      </c>
      <c r="X11">
        <f t="shared" si="5"/>
        <v>763.59369814554714</v>
      </c>
      <c r="Y11">
        <f t="shared" si="6"/>
        <v>449.5778779028924</v>
      </c>
    </row>
    <row r="12" spans="1:25" x14ac:dyDescent="0.25">
      <c r="B12" t="s">
        <v>46</v>
      </c>
      <c r="D12" t="s">
        <v>47</v>
      </c>
      <c r="F12" t="s">
        <v>24</v>
      </c>
      <c r="G12">
        <v>175</v>
      </c>
      <c r="H12">
        <v>175</v>
      </c>
      <c r="I12" t="s">
        <v>18</v>
      </c>
      <c r="J12" s="2">
        <v>121.65268884382129</v>
      </c>
      <c r="K12" s="3">
        <v>695.15822196469287</v>
      </c>
      <c r="L12" s="2">
        <v>67.523999999999987</v>
      </c>
      <c r="M12" s="3">
        <v>385.85142857142853</v>
      </c>
      <c r="N12" s="7">
        <v>24.504999999999999</v>
      </c>
      <c r="O12" s="4">
        <f t="shared" si="0"/>
        <v>140.02857142857141</v>
      </c>
      <c r="P12" s="2">
        <f t="shared" si="1"/>
        <v>213.68168884382129</v>
      </c>
      <c r="Q12" s="3">
        <f t="shared" si="2"/>
        <v>1221.0382219646931</v>
      </c>
      <c r="V12">
        <f t="shared" si="3"/>
        <v>642.07140416841071</v>
      </c>
      <c r="W12">
        <f t="shared" si="4"/>
        <v>685.01838628141309</v>
      </c>
      <c r="X12">
        <f t="shared" si="5"/>
        <v>763.59369814554714</v>
      </c>
      <c r="Y12">
        <f t="shared" si="6"/>
        <v>449.5778779028924</v>
      </c>
    </row>
    <row r="13" spans="1:25" x14ac:dyDescent="0.25">
      <c r="B13" t="s">
        <v>119</v>
      </c>
      <c r="D13" t="s">
        <v>20</v>
      </c>
      <c r="F13" t="s">
        <v>24</v>
      </c>
      <c r="G13">
        <v>100</v>
      </c>
      <c r="H13">
        <v>100</v>
      </c>
      <c r="I13" t="s">
        <v>29</v>
      </c>
      <c r="J13" s="2">
        <v>96.595334963952965</v>
      </c>
      <c r="K13" s="3">
        <v>965.95334963952962</v>
      </c>
      <c r="L13" s="2">
        <v>12.342000000000001</v>
      </c>
      <c r="M13" s="3">
        <v>123.42</v>
      </c>
      <c r="N13" s="7">
        <v>8.9614860000000007</v>
      </c>
      <c r="O13" s="4">
        <f t="shared" si="0"/>
        <v>89.614860000000007</v>
      </c>
      <c r="P13" s="2">
        <f t="shared" si="1"/>
        <v>117.89882096395297</v>
      </c>
      <c r="Q13" s="3">
        <f t="shared" si="2"/>
        <v>1178.9882096395297</v>
      </c>
      <c r="V13">
        <f t="shared" si="3"/>
        <v>642.07140416841071</v>
      </c>
      <c r="W13">
        <f t="shared" si="4"/>
        <v>685.01838628141309</v>
      </c>
      <c r="X13">
        <f t="shared" si="5"/>
        <v>763.59369814554714</v>
      </c>
      <c r="Y13">
        <f t="shared" si="6"/>
        <v>449.5778779028924</v>
      </c>
    </row>
    <row r="14" spans="1:25" x14ac:dyDescent="0.25">
      <c r="B14" t="s">
        <v>42</v>
      </c>
      <c r="D14" t="s">
        <v>20</v>
      </c>
      <c r="F14" t="s">
        <v>24</v>
      </c>
      <c r="G14">
        <v>176.6</v>
      </c>
      <c r="H14">
        <v>176.6</v>
      </c>
      <c r="I14" t="s">
        <v>33</v>
      </c>
      <c r="J14" s="2">
        <v>12.683419126384299</v>
      </c>
      <c r="K14" s="3">
        <v>71.820040353251969</v>
      </c>
      <c r="L14" s="2">
        <v>188.95400000000001</v>
      </c>
      <c r="M14" s="3">
        <v>1069.9546998867499</v>
      </c>
      <c r="N14" s="7">
        <v>0.49</v>
      </c>
      <c r="O14" s="4">
        <f t="shared" si="0"/>
        <v>2.7746319365798415</v>
      </c>
      <c r="P14" s="2">
        <f t="shared" si="1"/>
        <v>202.12741912638432</v>
      </c>
      <c r="Q14" s="3">
        <f t="shared" si="2"/>
        <v>1144.5493721765818</v>
      </c>
      <c r="V14">
        <f t="shared" si="3"/>
        <v>642.07140416841071</v>
      </c>
      <c r="W14">
        <f t="shared" si="4"/>
        <v>685.01838628141309</v>
      </c>
      <c r="X14">
        <f t="shared" si="5"/>
        <v>763.59369814554714</v>
      </c>
      <c r="Y14">
        <f t="shared" si="6"/>
        <v>449.5778779028924</v>
      </c>
    </row>
    <row r="15" spans="1:25" x14ac:dyDescent="0.25">
      <c r="B15" t="s">
        <v>53</v>
      </c>
      <c r="D15" t="s">
        <v>20</v>
      </c>
      <c r="F15" t="s">
        <v>17</v>
      </c>
      <c r="G15">
        <v>120</v>
      </c>
      <c r="H15">
        <v>120</v>
      </c>
      <c r="I15" t="s">
        <v>18</v>
      </c>
      <c r="J15" s="2">
        <v>129.5016044033209</v>
      </c>
      <c r="K15" s="3">
        <v>1079.180036694341</v>
      </c>
      <c r="L15" s="2">
        <v>0</v>
      </c>
      <c r="M15" s="3">
        <v>0</v>
      </c>
      <c r="N15" s="7">
        <v>5.05</v>
      </c>
      <c r="O15" s="4">
        <f t="shared" si="0"/>
        <v>42.083333333333336</v>
      </c>
      <c r="P15" s="2">
        <f t="shared" si="1"/>
        <v>134.55160440332091</v>
      </c>
      <c r="Q15" s="3">
        <f t="shared" si="2"/>
        <v>1121.2633700276742</v>
      </c>
      <c r="V15">
        <f t="shared" si="3"/>
        <v>642.07140416841071</v>
      </c>
      <c r="W15">
        <f t="shared" si="4"/>
        <v>685.01838628141309</v>
      </c>
      <c r="X15">
        <f t="shared" si="5"/>
        <v>763.59369814554714</v>
      </c>
      <c r="Y15">
        <f t="shared" si="6"/>
        <v>449.5778779028924</v>
      </c>
    </row>
    <row r="16" spans="1:25" x14ac:dyDescent="0.25">
      <c r="B16" t="s">
        <v>88</v>
      </c>
      <c r="D16" t="s">
        <v>22</v>
      </c>
      <c r="F16" t="s">
        <v>24</v>
      </c>
      <c r="G16">
        <v>375</v>
      </c>
      <c r="H16">
        <v>375</v>
      </c>
      <c r="I16" t="s">
        <v>18</v>
      </c>
      <c r="J16" s="2">
        <v>155.53691747935969</v>
      </c>
      <c r="K16" s="3">
        <v>414.76511327829252</v>
      </c>
      <c r="L16" s="2">
        <v>221.36200000000011</v>
      </c>
      <c r="M16" s="3">
        <v>590.2986666666668</v>
      </c>
      <c r="N16" s="7">
        <v>40.270000000000003</v>
      </c>
      <c r="O16" s="4">
        <f t="shared" si="0"/>
        <v>107.38666666666667</v>
      </c>
      <c r="P16" s="2">
        <f t="shared" si="1"/>
        <v>417.16891747935978</v>
      </c>
      <c r="Q16" s="3">
        <f t="shared" si="2"/>
        <v>1112.4504466116261</v>
      </c>
      <c r="V16">
        <f t="shared" si="3"/>
        <v>642.07140416841071</v>
      </c>
      <c r="W16">
        <f t="shared" si="4"/>
        <v>685.01838628141309</v>
      </c>
      <c r="X16">
        <f t="shared" si="5"/>
        <v>763.59369814554714</v>
      </c>
      <c r="Y16">
        <f t="shared" si="6"/>
        <v>449.5778779028924</v>
      </c>
    </row>
    <row r="17" spans="2:25" x14ac:dyDescent="0.25">
      <c r="B17" t="s">
        <v>130</v>
      </c>
      <c r="D17" t="s">
        <v>16</v>
      </c>
      <c r="F17" t="s">
        <v>24</v>
      </c>
      <c r="G17">
        <v>135</v>
      </c>
      <c r="H17">
        <v>135</v>
      </c>
      <c r="I17" t="s">
        <v>29</v>
      </c>
      <c r="J17" s="2">
        <v>69.865264423955352</v>
      </c>
      <c r="K17" s="3">
        <v>517.52047721448412</v>
      </c>
      <c r="L17" s="2">
        <v>57.991999999999997</v>
      </c>
      <c r="M17" s="3">
        <v>429.57037037037043</v>
      </c>
      <c r="N17" s="7">
        <v>20.92</v>
      </c>
      <c r="O17" s="4">
        <f t="shared" si="0"/>
        <v>154.96296296296296</v>
      </c>
      <c r="P17" s="2">
        <f t="shared" si="1"/>
        <v>148.77726442395533</v>
      </c>
      <c r="Q17" s="3">
        <f t="shared" si="2"/>
        <v>1102.0538105478172</v>
      </c>
      <c r="V17">
        <f t="shared" si="3"/>
        <v>642.07140416841071</v>
      </c>
      <c r="W17">
        <f t="shared" si="4"/>
        <v>685.01838628141309</v>
      </c>
      <c r="X17">
        <f t="shared" si="5"/>
        <v>763.59369814554714</v>
      </c>
      <c r="Y17">
        <f t="shared" si="6"/>
        <v>449.5778779028924</v>
      </c>
    </row>
    <row r="18" spans="2:25" x14ac:dyDescent="0.25">
      <c r="B18" t="s">
        <v>108</v>
      </c>
      <c r="D18" t="s">
        <v>22</v>
      </c>
      <c r="F18" t="s">
        <v>24</v>
      </c>
      <c r="G18">
        <v>150</v>
      </c>
      <c r="H18">
        <v>150</v>
      </c>
      <c r="I18" t="s">
        <v>18</v>
      </c>
      <c r="J18" s="2">
        <v>43.287133437666363</v>
      </c>
      <c r="K18" s="3">
        <v>288.58088958444239</v>
      </c>
      <c r="L18" s="2">
        <v>94.379000000000019</v>
      </c>
      <c r="M18" s="3">
        <v>629.1933333333335</v>
      </c>
      <c r="N18" s="7">
        <v>22.52</v>
      </c>
      <c r="O18" s="4">
        <f t="shared" si="0"/>
        <v>150.13333333333335</v>
      </c>
      <c r="P18" s="2">
        <f t="shared" si="1"/>
        <v>160.1861334376664</v>
      </c>
      <c r="Q18" s="3">
        <f t="shared" si="2"/>
        <v>1067.9075562511093</v>
      </c>
      <c r="V18">
        <f t="shared" si="3"/>
        <v>642.07140416841071</v>
      </c>
      <c r="W18">
        <f t="shared" si="4"/>
        <v>685.01838628141309</v>
      </c>
      <c r="X18">
        <f t="shared" si="5"/>
        <v>763.59369814554714</v>
      </c>
      <c r="Y18">
        <f t="shared" si="6"/>
        <v>449.5778779028924</v>
      </c>
    </row>
    <row r="19" spans="2:25" x14ac:dyDescent="0.25">
      <c r="B19" t="s">
        <v>87</v>
      </c>
      <c r="D19" t="s">
        <v>22</v>
      </c>
      <c r="F19" t="s">
        <v>24</v>
      </c>
      <c r="G19">
        <v>375</v>
      </c>
      <c r="H19">
        <v>375</v>
      </c>
      <c r="I19" t="s">
        <v>18</v>
      </c>
      <c r="J19" s="2">
        <v>112.4680917730207</v>
      </c>
      <c r="K19" s="3">
        <v>299.91491139472168</v>
      </c>
      <c r="L19" s="2">
        <v>234.8</v>
      </c>
      <c r="M19" s="3">
        <v>626.13333333333333</v>
      </c>
      <c r="N19" s="7">
        <v>49.62</v>
      </c>
      <c r="O19" s="4">
        <f t="shared" si="0"/>
        <v>132.32</v>
      </c>
      <c r="P19" s="2">
        <f t="shared" si="1"/>
        <v>396.88809177302073</v>
      </c>
      <c r="Q19" s="3">
        <f t="shared" si="2"/>
        <v>1058.3682447280553</v>
      </c>
      <c r="V19">
        <f t="shared" si="3"/>
        <v>642.07140416841071</v>
      </c>
      <c r="W19">
        <f t="shared" si="4"/>
        <v>685.01838628141309</v>
      </c>
      <c r="X19">
        <f t="shared" si="5"/>
        <v>763.59369814554714</v>
      </c>
      <c r="Y19">
        <f t="shared" si="6"/>
        <v>449.5778779028924</v>
      </c>
    </row>
    <row r="20" spans="2:25" x14ac:dyDescent="0.25">
      <c r="B20" t="s">
        <v>89</v>
      </c>
      <c r="D20" t="s">
        <v>22</v>
      </c>
      <c r="F20" t="s">
        <v>24</v>
      </c>
      <c r="G20">
        <v>375</v>
      </c>
      <c r="H20">
        <v>375</v>
      </c>
      <c r="I20" t="s">
        <v>18</v>
      </c>
      <c r="J20" s="2">
        <v>112.62256693382341</v>
      </c>
      <c r="K20" s="3">
        <v>300.32684515686219</v>
      </c>
      <c r="L20" s="2">
        <v>234.5920000000001</v>
      </c>
      <c r="M20" s="3">
        <v>625.57866666666689</v>
      </c>
      <c r="N20" s="7">
        <v>49.62</v>
      </c>
      <c r="O20" s="4">
        <f t="shared" si="0"/>
        <v>132.32</v>
      </c>
      <c r="P20" s="2">
        <f t="shared" si="1"/>
        <v>396.83456693382351</v>
      </c>
      <c r="Q20" s="3">
        <f t="shared" si="2"/>
        <v>1058.2255118235294</v>
      </c>
      <c r="V20">
        <f t="shared" si="3"/>
        <v>642.07140416841071</v>
      </c>
      <c r="W20">
        <f t="shared" si="4"/>
        <v>685.01838628141309</v>
      </c>
      <c r="X20">
        <f t="shared" si="5"/>
        <v>763.59369814554714</v>
      </c>
      <c r="Y20">
        <f t="shared" si="6"/>
        <v>449.5778779028924</v>
      </c>
    </row>
    <row r="21" spans="2:25" x14ac:dyDescent="0.25">
      <c r="B21" t="s">
        <v>105</v>
      </c>
      <c r="D21" t="s">
        <v>22</v>
      </c>
      <c r="F21" t="s">
        <v>24</v>
      </c>
      <c r="G21">
        <v>222</v>
      </c>
      <c r="H21">
        <v>222</v>
      </c>
      <c r="I21" t="s">
        <v>29</v>
      </c>
      <c r="J21" s="2">
        <v>82.789380855269684</v>
      </c>
      <c r="K21" s="3">
        <v>372.9251389877013</v>
      </c>
      <c r="L21" s="2">
        <v>111.789</v>
      </c>
      <c r="M21" s="3">
        <v>503.55405405405418</v>
      </c>
      <c r="N21" s="7">
        <f>SUM(0.57, 38.76)</f>
        <v>39.33</v>
      </c>
      <c r="O21" s="4">
        <f t="shared" si="0"/>
        <v>177.16216216216216</v>
      </c>
      <c r="P21" s="2">
        <f t="shared" si="1"/>
        <v>233.90838085526968</v>
      </c>
      <c r="Q21" s="3">
        <f t="shared" si="2"/>
        <v>1053.6413552039173</v>
      </c>
      <c r="R21" t="s">
        <v>162</v>
      </c>
      <c r="V21">
        <f t="shared" si="3"/>
        <v>642.07140416841071</v>
      </c>
      <c r="W21">
        <f t="shared" si="4"/>
        <v>685.01838628141309</v>
      </c>
      <c r="X21">
        <f t="shared" si="5"/>
        <v>763.59369814554714</v>
      </c>
      <c r="Y21">
        <f t="shared" si="6"/>
        <v>449.5778779028924</v>
      </c>
    </row>
    <row r="22" spans="2:25" x14ac:dyDescent="0.25">
      <c r="B22" t="s">
        <v>135</v>
      </c>
      <c r="D22" t="s">
        <v>22</v>
      </c>
      <c r="F22" t="s">
        <v>24</v>
      </c>
      <c r="G22">
        <v>100</v>
      </c>
      <c r="H22">
        <v>100</v>
      </c>
      <c r="I22" t="s">
        <v>29</v>
      </c>
      <c r="J22" s="2">
        <v>6.6362503587135961</v>
      </c>
      <c r="K22" s="3">
        <v>66.362503587135961</v>
      </c>
      <c r="L22" s="2">
        <v>78.11</v>
      </c>
      <c r="M22" s="3">
        <v>781.1</v>
      </c>
      <c r="N22" s="7">
        <v>17.111000000000001</v>
      </c>
      <c r="O22" s="4">
        <f t="shared" si="0"/>
        <v>171.11</v>
      </c>
      <c r="P22" s="2">
        <f t="shared" si="1"/>
        <v>101.8572503587136</v>
      </c>
      <c r="Q22" s="3">
        <f t="shared" si="2"/>
        <v>1018.572503587136</v>
      </c>
      <c r="V22">
        <f t="shared" si="3"/>
        <v>642.07140416841071</v>
      </c>
      <c r="W22">
        <f t="shared" si="4"/>
        <v>685.01838628141309</v>
      </c>
      <c r="X22">
        <f t="shared" si="5"/>
        <v>763.59369814554714</v>
      </c>
      <c r="Y22">
        <f t="shared" si="6"/>
        <v>449.5778779028924</v>
      </c>
    </row>
    <row r="23" spans="2:25" x14ac:dyDescent="0.25">
      <c r="B23" t="s">
        <v>41</v>
      </c>
      <c r="D23" t="s">
        <v>16</v>
      </c>
      <c r="F23" t="s">
        <v>17</v>
      </c>
      <c r="G23">
        <v>200</v>
      </c>
      <c r="H23">
        <v>200</v>
      </c>
      <c r="I23" t="s">
        <v>18</v>
      </c>
      <c r="J23" s="2">
        <v>142.92468641615571</v>
      </c>
      <c r="K23" s="3">
        <v>714.62343208077868</v>
      </c>
      <c r="L23" s="2">
        <v>0</v>
      </c>
      <c r="M23" s="3">
        <v>0</v>
      </c>
      <c r="N23" s="7">
        <v>60.673999999999999</v>
      </c>
      <c r="O23" s="4">
        <f t="shared" si="0"/>
        <v>303.36999999999995</v>
      </c>
      <c r="P23" s="2">
        <f t="shared" si="1"/>
        <v>203.59868641615572</v>
      </c>
      <c r="Q23" s="3">
        <f t="shared" si="2"/>
        <v>1017.9934320807787</v>
      </c>
      <c r="V23">
        <f t="shared" si="3"/>
        <v>642.07140416841071</v>
      </c>
      <c r="W23">
        <f t="shared" si="4"/>
        <v>685.01838628141309</v>
      </c>
      <c r="X23">
        <f t="shared" si="5"/>
        <v>763.59369814554714</v>
      </c>
      <c r="Y23">
        <f t="shared" si="6"/>
        <v>449.5778779028924</v>
      </c>
    </row>
    <row r="24" spans="2:25" x14ac:dyDescent="0.25">
      <c r="B24" t="s">
        <v>34</v>
      </c>
      <c r="D24" t="s">
        <v>22</v>
      </c>
      <c r="F24" t="s">
        <v>24</v>
      </c>
      <c r="G24">
        <v>100</v>
      </c>
      <c r="H24">
        <v>100</v>
      </c>
      <c r="I24" t="s">
        <v>29</v>
      </c>
      <c r="J24" s="2">
        <v>10.69871105250273</v>
      </c>
      <c r="K24" s="3">
        <v>106.9871105250273</v>
      </c>
      <c r="L24" s="2">
        <v>72.881999999999991</v>
      </c>
      <c r="M24" s="3">
        <v>728.81999999999994</v>
      </c>
      <c r="N24" s="7">
        <v>17.98</v>
      </c>
      <c r="O24" s="4">
        <f t="shared" si="0"/>
        <v>179.8</v>
      </c>
      <c r="P24" s="2">
        <f t="shared" si="1"/>
        <v>101.56071105250273</v>
      </c>
      <c r="Q24" s="3">
        <f t="shared" si="2"/>
        <v>1015.6071105250272</v>
      </c>
      <c r="V24">
        <f t="shared" si="3"/>
        <v>642.07140416841071</v>
      </c>
      <c r="W24">
        <f t="shared" si="4"/>
        <v>685.01838628141309</v>
      </c>
      <c r="X24">
        <f t="shared" si="5"/>
        <v>763.59369814554714</v>
      </c>
      <c r="Y24">
        <f t="shared" si="6"/>
        <v>449.5778779028924</v>
      </c>
    </row>
    <row r="25" spans="2:25" x14ac:dyDescent="0.25">
      <c r="B25" t="s">
        <v>45</v>
      </c>
      <c r="D25" t="s">
        <v>22</v>
      </c>
      <c r="F25" t="s">
        <v>24</v>
      </c>
      <c r="G25">
        <v>300</v>
      </c>
      <c r="H25">
        <v>300</v>
      </c>
      <c r="I25" t="s">
        <v>33</v>
      </c>
      <c r="J25" s="2">
        <v>25.15843966066188</v>
      </c>
      <c r="K25" s="3">
        <v>83.861465535539608</v>
      </c>
      <c r="L25" s="2">
        <v>223.12799999999999</v>
      </c>
      <c r="M25" s="3">
        <v>743.7600000000001</v>
      </c>
      <c r="N25" s="7">
        <v>56.11</v>
      </c>
      <c r="O25" s="4">
        <f t="shared" si="0"/>
        <v>187.03333333333333</v>
      </c>
      <c r="P25" s="2">
        <f t="shared" si="1"/>
        <v>304.39643966066188</v>
      </c>
      <c r="Q25" s="3">
        <f t="shared" si="2"/>
        <v>1014.6547988688729</v>
      </c>
      <c r="V25">
        <f t="shared" si="3"/>
        <v>642.07140416841071</v>
      </c>
      <c r="W25">
        <f t="shared" si="4"/>
        <v>685.01838628141309</v>
      </c>
      <c r="X25">
        <f t="shared" si="5"/>
        <v>763.59369814554714</v>
      </c>
      <c r="Y25">
        <f t="shared" si="6"/>
        <v>449.5778779028924</v>
      </c>
    </row>
    <row r="26" spans="2:25" x14ac:dyDescent="0.25">
      <c r="B26" t="s">
        <v>132</v>
      </c>
      <c r="D26" t="s">
        <v>20</v>
      </c>
      <c r="F26" t="s">
        <v>17</v>
      </c>
      <c r="G26">
        <v>100</v>
      </c>
      <c r="H26">
        <v>100</v>
      </c>
      <c r="I26" t="s">
        <v>31</v>
      </c>
      <c r="J26" s="2">
        <v>72.558215365045612</v>
      </c>
      <c r="K26" s="3">
        <v>725.58215365045612</v>
      </c>
      <c r="L26" s="2">
        <v>0</v>
      </c>
      <c r="M26" s="3">
        <v>0</v>
      </c>
      <c r="N26" s="7">
        <v>26.652692999999999</v>
      </c>
      <c r="O26" s="4">
        <f t="shared" si="0"/>
        <v>266.52692999999999</v>
      </c>
      <c r="P26" s="2">
        <f t="shared" si="1"/>
        <v>99.210908365045611</v>
      </c>
      <c r="Q26" s="3">
        <f t="shared" si="2"/>
        <v>992.10908365045611</v>
      </c>
      <c r="V26">
        <f t="shared" si="3"/>
        <v>642.07140416841071</v>
      </c>
      <c r="W26">
        <f t="shared" si="4"/>
        <v>685.01838628141309</v>
      </c>
      <c r="X26">
        <f t="shared" si="5"/>
        <v>763.59369814554714</v>
      </c>
      <c r="Y26">
        <f t="shared" si="6"/>
        <v>449.5778779028924</v>
      </c>
    </row>
    <row r="27" spans="2:25" x14ac:dyDescent="0.25">
      <c r="B27" t="s">
        <v>86</v>
      </c>
      <c r="D27" t="s">
        <v>22</v>
      </c>
      <c r="F27" t="s">
        <v>24</v>
      </c>
      <c r="G27">
        <v>500</v>
      </c>
      <c r="H27">
        <v>500</v>
      </c>
      <c r="I27" t="s">
        <v>33</v>
      </c>
      <c r="J27" s="2">
        <v>66.73620066115204</v>
      </c>
      <c r="K27" s="3">
        <v>133.47240132230411</v>
      </c>
      <c r="L27" s="2">
        <v>371.88799999999998</v>
      </c>
      <c r="M27" s="3">
        <v>743.77600000000007</v>
      </c>
      <c r="N27" s="7">
        <v>56.11</v>
      </c>
      <c r="O27" s="4">
        <f t="shared" si="0"/>
        <v>112.22</v>
      </c>
      <c r="P27" s="2">
        <f t="shared" si="1"/>
        <v>494.73420066115204</v>
      </c>
      <c r="Q27" s="3">
        <f t="shared" si="2"/>
        <v>989.46840132230409</v>
      </c>
      <c r="V27">
        <f t="shared" si="3"/>
        <v>642.07140416841071</v>
      </c>
      <c r="W27">
        <f t="shared" si="4"/>
        <v>685.01838628141309</v>
      </c>
      <c r="X27">
        <f t="shared" si="5"/>
        <v>763.59369814554714</v>
      </c>
      <c r="Y27">
        <f t="shared" si="6"/>
        <v>449.5778779028924</v>
      </c>
    </row>
    <row r="28" spans="2:25" x14ac:dyDescent="0.25">
      <c r="B28" t="s">
        <v>48</v>
      </c>
      <c r="D28" t="s">
        <v>22</v>
      </c>
      <c r="F28" t="s">
        <v>24</v>
      </c>
      <c r="G28">
        <v>105.8</v>
      </c>
      <c r="H28">
        <v>105.8</v>
      </c>
      <c r="I28" t="s">
        <v>18</v>
      </c>
      <c r="J28" s="2">
        <v>46.467927867756359</v>
      </c>
      <c r="K28" s="3">
        <v>439.20536737009792</v>
      </c>
      <c r="L28" s="2">
        <v>37.204000000000001</v>
      </c>
      <c r="M28" s="3">
        <v>351.64461247637053</v>
      </c>
      <c r="N28" s="7">
        <v>18.498000000000001</v>
      </c>
      <c r="O28" s="4">
        <f t="shared" si="0"/>
        <v>174.83931947069945</v>
      </c>
      <c r="P28" s="2">
        <f t="shared" si="1"/>
        <v>102.16992786775636</v>
      </c>
      <c r="Q28" s="3">
        <f t="shared" si="2"/>
        <v>965.68929931716787</v>
      </c>
      <c r="V28">
        <f t="shared" si="3"/>
        <v>642.07140416841071</v>
      </c>
      <c r="W28">
        <f t="shared" si="4"/>
        <v>685.01838628141309</v>
      </c>
      <c r="X28">
        <f t="shared" si="5"/>
        <v>763.59369814554714</v>
      </c>
      <c r="Y28">
        <f t="shared" si="6"/>
        <v>449.5778779028924</v>
      </c>
    </row>
    <row r="29" spans="2:25" x14ac:dyDescent="0.25">
      <c r="B29" t="s">
        <v>43</v>
      </c>
      <c r="D29" t="s">
        <v>22</v>
      </c>
      <c r="F29" t="s">
        <v>24</v>
      </c>
      <c r="G29">
        <v>200</v>
      </c>
      <c r="H29">
        <v>200</v>
      </c>
      <c r="I29" t="s">
        <v>33</v>
      </c>
      <c r="J29" s="2">
        <v>35.153825573686397</v>
      </c>
      <c r="K29" s="3">
        <v>175.76912786843201</v>
      </c>
      <c r="L29" s="2">
        <v>147.92400000000001</v>
      </c>
      <c r="M29" s="3">
        <v>739.61999999999989</v>
      </c>
      <c r="N29" s="7">
        <v>6.8959999999999999</v>
      </c>
      <c r="O29" s="4">
        <f t="shared" si="0"/>
        <v>34.479999999999997</v>
      </c>
      <c r="P29" s="2">
        <f t="shared" si="1"/>
        <v>189.97382557368638</v>
      </c>
      <c r="Q29" s="3">
        <f t="shared" si="2"/>
        <v>949.86912786843186</v>
      </c>
      <c r="V29">
        <f t="shared" si="3"/>
        <v>642.07140416841071</v>
      </c>
      <c r="W29">
        <f t="shared" si="4"/>
        <v>685.01838628141309</v>
      </c>
      <c r="X29">
        <f t="shared" si="5"/>
        <v>763.59369814554714</v>
      </c>
      <c r="Y29">
        <f t="shared" si="6"/>
        <v>449.5778779028924</v>
      </c>
    </row>
    <row r="30" spans="2:25" x14ac:dyDescent="0.25">
      <c r="B30" t="s">
        <v>93</v>
      </c>
      <c r="D30" t="s">
        <v>22</v>
      </c>
      <c r="F30" t="s">
        <v>24</v>
      </c>
      <c r="G30">
        <v>150</v>
      </c>
      <c r="H30">
        <v>150</v>
      </c>
      <c r="I30" t="s">
        <v>29</v>
      </c>
      <c r="J30" s="2">
        <v>34.380913705167643</v>
      </c>
      <c r="K30" s="3">
        <v>229.20609136778421</v>
      </c>
      <c r="L30" s="2">
        <v>80.105000000000004</v>
      </c>
      <c r="M30" s="3">
        <v>534.0333333333333</v>
      </c>
      <c r="N30" s="7">
        <v>24.94</v>
      </c>
      <c r="O30" s="4">
        <f t="shared" si="0"/>
        <v>166.26666666666668</v>
      </c>
      <c r="P30" s="2">
        <f t="shared" si="1"/>
        <v>139.42591370516766</v>
      </c>
      <c r="Q30" s="3">
        <f t="shared" si="2"/>
        <v>929.50609136778439</v>
      </c>
      <c r="V30">
        <f t="shared" si="3"/>
        <v>642.07140416841071</v>
      </c>
      <c r="W30">
        <f t="shared" si="4"/>
        <v>685.01838628141309</v>
      </c>
      <c r="X30">
        <f t="shared" si="5"/>
        <v>763.59369814554714</v>
      </c>
      <c r="Y30">
        <f t="shared" si="6"/>
        <v>449.5778779028924</v>
      </c>
    </row>
    <row r="31" spans="2:25" x14ac:dyDescent="0.25">
      <c r="B31" t="s">
        <v>147</v>
      </c>
      <c r="D31" t="s">
        <v>22</v>
      </c>
      <c r="F31" t="s">
        <v>24</v>
      </c>
      <c r="G31">
        <v>500</v>
      </c>
      <c r="H31">
        <v>500</v>
      </c>
      <c r="I31" t="s">
        <v>18</v>
      </c>
      <c r="J31" s="2">
        <v>49.879956463360678</v>
      </c>
      <c r="K31" s="3">
        <v>99.759912926721356</v>
      </c>
      <c r="L31" s="2">
        <v>406.20600000000002</v>
      </c>
      <c r="M31" s="3">
        <v>812.41200000000003</v>
      </c>
      <c r="N31" s="7">
        <v>4.51</v>
      </c>
      <c r="O31" s="4">
        <f t="shared" si="0"/>
        <v>9.02</v>
      </c>
      <c r="P31" s="2">
        <f t="shared" si="1"/>
        <v>460.59595646336066</v>
      </c>
      <c r="Q31" s="3">
        <f t="shared" si="2"/>
        <v>921.19191292672133</v>
      </c>
      <c r="V31">
        <f t="shared" si="3"/>
        <v>642.07140416841071</v>
      </c>
      <c r="W31">
        <f t="shared" si="4"/>
        <v>685.01838628141309</v>
      </c>
      <c r="X31">
        <f>AVERAGEIF($D$2:$D$122, "MS", $Q$2:$Q$122)</f>
        <v>763.59369814554714</v>
      </c>
      <c r="Y31">
        <f t="shared" si="6"/>
        <v>449.5778779028924</v>
      </c>
    </row>
    <row r="32" spans="2:25" x14ac:dyDescent="0.25">
      <c r="B32" t="s">
        <v>122</v>
      </c>
      <c r="D32" t="s">
        <v>22</v>
      </c>
      <c r="F32" t="s">
        <v>24</v>
      </c>
      <c r="G32">
        <v>365</v>
      </c>
      <c r="H32">
        <v>365</v>
      </c>
      <c r="I32" t="s">
        <v>18</v>
      </c>
      <c r="J32" s="2">
        <v>119.7770105749554</v>
      </c>
      <c r="K32" s="3">
        <v>328.15619335604231</v>
      </c>
      <c r="L32" s="2">
        <v>171.18999999999991</v>
      </c>
      <c r="M32" s="3">
        <v>469.01369863013679</v>
      </c>
      <c r="N32" s="7">
        <v>40.270000000000003</v>
      </c>
      <c r="O32" s="4">
        <f t="shared" si="0"/>
        <v>110.32876712328768</v>
      </c>
      <c r="P32" s="2">
        <f t="shared" si="1"/>
        <v>331.23701057495532</v>
      </c>
      <c r="Q32" s="3">
        <f t="shared" si="2"/>
        <v>907.49865910946664</v>
      </c>
      <c r="V32">
        <f>AVERAGEIF($D$2:$D$122, "AR", $Q$2:$Q$122)</f>
        <v>642.07140416841071</v>
      </c>
      <c r="W32">
        <f t="shared" si="4"/>
        <v>685.01838628141309</v>
      </c>
      <c r="X32">
        <f t="shared" si="5"/>
        <v>763.59369814554714</v>
      </c>
      <c r="Y32">
        <f t="shared" si="6"/>
        <v>449.5778779028924</v>
      </c>
    </row>
    <row r="33" spans="2:25" x14ac:dyDescent="0.25">
      <c r="B33" t="s">
        <v>145</v>
      </c>
      <c r="D33" t="s">
        <v>20</v>
      </c>
      <c r="F33" t="s">
        <v>24</v>
      </c>
      <c r="G33">
        <v>160</v>
      </c>
      <c r="H33">
        <v>160</v>
      </c>
      <c r="I33" t="s">
        <v>18</v>
      </c>
      <c r="J33" s="2">
        <v>51.481939775764168</v>
      </c>
      <c r="K33" s="3">
        <v>321.76212359852599</v>
      </c>
      <c r="L33" s="2">
        <v>91.603999999999999</v>
      </c>
      <c r="M33" s="3">
        <v>572.52499999999998</v>
      </c>
      <c r="N33" s="7"/>
      <c r="O33" s="4">
        <f t="shared" si="0"/>
        <v>0</v>
      </c>
      <c r="P33" s="2">
        <f t="shared" si="1"/>
        <v>143.08593977576416</v>
      </c>
      <c r="Q33" s="3">
        <f t="shared" si="2"/>
        <v>894.28712359852602</v>
      </c>
      <c r="V33">
        <f t="shared" si="3"/>
        <v>642.07140416841071</v>
      </c>
      <c r="W33">
        <f t="shared" si="4"/>
        <v>685.01838628141309</v>
      </c>
      <c r="X33">
        <f t="shared" si="5"/>
        <v>763.59369814554714</v>
      </c>
      <c r="Y33">
        <f>AVERAGEIF($D$2:$D$122, "TX", $Q$2:$Q$122)</f>
        <v>449.5778779028924</v>
      </c>
    </row>
    <row r="34" spans="2:25" x14ac:dyDescent="0.25">
      <c r="B34" t="s">
        <v>62</v>
      </c>
      <c r="D34" t="s">
        <v>20</v>
      </c>
      <c r="F34" t="s">
        <v>24</v>
      </c>
      <c r="G34">
        <v>150</v>
      </c>
      <c r="H34">
        <v>150</v>
      </c>
      <c r="I34" t="s">
        <v>18</v>
      </c>
      <c r="J34" s="2">
        <v>71.530370049362048</v>
      </c>
      <c r="K34" s="3">
        <v>476.86913366241367</v>
      </c>
      <c r="L34" s="2">
        <v>38.756</v>
      </c>
      <c r="M34" s="3">
        <v>258.37333333333328</v>
      </c>
      <c r="N34" s="7">
        <v>21.91</v>
      </c>
      <c r="O34" s="4">
        <f t="shared" ref="O34:O65" si="7">(N34/G34)*1000</f>
        <v>146.06666666666669</v>
      </c>
      <c r="P34" s="2">
        <f t="shared" ref="P34:P65" si="8">SUM(J34,L34,N34)</f>
        <v>132.19637004936206</v>
      </c>
      <c r="Q34" s="3">
        <f t="shared" ref="Q34:Q65" si="9">(P34/G34)*1000</f>
        <v>881.30913366241373</v>
      </c>
      <c r="V34">
        <f t="shared" ref="V34:V65" si="10">AVERAGEIF($D$2:$D$122, "AR", $Q$2:$Q$122)</f>
        <v>642.07140416841071</v>
      </c>
      <c r="W34">
        <f t="shared" ref="W34:W65" si="11">AVERAGEIF($D$2:$D$122, "LA", $Q$2:$Q$122)</f>
        <v>685.01838628141309</v>
      </c>
      <c r="X34">
        <f>AVERAGEIF($D$2:$D$122, "MS", $Q$2:$Q$122)</f>
        <v>763.59369814554714</v>
      </c>
      <c r="Y34">
        <f t="shared" ref="Y34:Y65" si="12">AVERAGEIF($D$2:$D$122, "TX", $Q$2:$Q$122)</f>
        <v>449.5778779028924</v>
      </c>
    </row>
    <row r="35" spans="2:25" x14ac:dyDescent="0.25">
      <c r="B35" t="s">
        <v>59</v>
      </c>
      <c r="D35" t="s">
        <v>16</v>
      </c>
      <c r="F35" t="s">
        <v>24</v>
      </c>
      <c r="G35">
        <v>500</v>
      </c>
      <c r="H35">
        <v>500</v>
      </c>
      <c r="I35" t="s">
        <v>18</v>
      </c>
      <c r="J35" s="2">
        <v>327.89455696682899</v>
      </c>
      <c r="K35" s="3">
        <v>655.78911393365809</v>
      </c>
      <c r="L35" s="2">
        <v>103.25700000000001</v>
      </c>
      <c r="M35" s="3">
        <v>206.51400000000001</v>
      </c>
      <c r="N35" s="7">
        <v>7.86</v>
      </c>
      <c r="O35" s="4">
        <f t="shared" si="7"/>
        <v>15.72</v>
      </c>
      <c r="P35" s="2">
        <f t="shared" si="8"/>
        <v>439.011556966829</v>
      </c>
      <c r="Q35" s="3">
        <f t="shared" si="9"/>
        <v>878.02311393365801</v>
      </c>
      <c r="V35">
        <f t="shared" si="10"/>
        <v>642.07140416841071</v>
      </c>
      <c r="W35">
        <f t="shared" si="11"/>
        <v>685.01838628141309</v>
      </c>
      <c r="X35">
        <f t="shared" ref="X35:X65" si="13">AVERAGEIF($D$2:$D$122, "MS", $Q$2:$Q$122)</f>
        <v>763.59369814554714</v>
      </c>
      <c r="Y35">
        <f t="shared" si="12"/>
        <v>449.5778779028924</v>
      </c>
    </row>
    <row r="36" spans="2:25" x14ac:dyDescent="0.25">
      <c r="B36" t="s">
        <v>58</v>
      </c>
      <c r="D36" t="s">
        <v>16</v>
      </c>
      <c r="F36" t="s">
        <v>24</v>
      </c>
      <c r="G36">
        <v>500</v>
      </c>
      <c r="H36">
        <v>500</v>
      </c>
      <c r="I36" t="s">
        <v>18</v>
      </c>
      <c r="J36" s="2">
        <v>327.75901115291992</v>
      </c>
      <c r="K36" s="3">
        <v>655.51802230583974</v>
      </c>
      <c r="L36" s="2">
        <v>103.25700000000001</v>
      </c>
      <c r="M36" s="3">
        <v>206.51400000000001</v>
      </c>
      <c r="N36" s="7">
        <v>7.86</v>
      </c>
      <c r="O36" s="4">
        <f t="shared" si="7"/>
        <v>15.72</v>
      </c>
      <c r="P36" s="2">
        <f t="shared" si="8"/>
        <v>438.87601115291994</v>
      </c>
      <c r="Q36" s="3">
        <f t="shared" si="9"/>
        <v>877.75202230583989</v>
      </c>
      <c r="V36">
        <f t="shared" si="10"/>
        <v>642.07140416841071</v>
      </c>
      <c r="W36">
        <f t="shared" si="11"/>
        <v>685.01838628141309</v>
      </c>
      <c r="X36">
        <f t="shared" si="13"/>
        <v>763.59369814554714</v>
      </c>
      <c r="Y36">
        <f t="shared" si="12"/>
        <v>449.5778779028924</v>
      </c>
    </row>
    <row r="37" spans="2:25" x14ac:dyDescent="0.25">
      <c r="B37" t="s">
        <v>100</v>
      </c>
      <c r="D37" t="s">
        <v>22</v>
      </c>
      <c r="F37" t="s">
        <v>24</v>
      </c>
      <c r="G37">
        <v>400</v>
      </c>
      <c r="H37">
        <v>400</v>
      </c>
      <c r="I37" t="s">
        <v>29</v>
      </c>
      <c r="J37" s="2">
        <v>33.983171903520997</v>
      </c>
      <c r="K37" s="3">
        <v>84.957929758802493</v>
      </c>
      <c r="L37" s="2">
        <v>288.88200000000001</v>
      </c>
      <c r="M37" s="3">
        <v>722.20500000000004</v>
      </c>
      <c r="N37" s="7">
        <v>11.81</v>
      </c>
      <c r="O37" s="4">
        <f t="shared" si="7"/>
        <v>29.525000000000002</v>
      </c>
      <c r="P37" s="2">
        <f t="shared" si="8"/>
        <v>334.675171903521</v>
      </c>
      <c r="Q37" s="3">
        <f t="shared" si="9"/>
        <v>836.68792975880251</v>
      </c>
      <c r="V37">
        <f t="shared" si="10"/>
        <v>642.07140416841071</v>
      </c>
      <c r="W37">
        <f t="shared" si="11"/>
        <v>685.01838628141309</v>
      </c>
      <c r="X37">
        <f t="shared" si="13"/>
        <v>763.59369814554714</v>
      </c>
      <c r="Y37">
        <f t="shared" si="12"/>
        <v>449.5778779028924</v>
      </c>
    </row>
    <row r="38" spans="2:25" x14ac:dyDescent="0.25">
      <c r="B38" t="s">
        <v>110</v>
      </c>
      <c r="D38" t="s">
        <v>20</v>
      </c>
      <c r="F38" t="s">
        <v>24</v>
      </c>
      <c r="G38">
        <v>100</v>
      </c>
      <c r="H38">
        <v>100</v>
      </c>
      <c r="I38" t="s">
        <v>29</v>
      </c>
      <c r="J38" s="2">
        <v>11.147787297340139</v>
      </c>
      <c r="K38" s="3">
        <v>111.4778729734014</v>
      </c>
      <c r="L38" s="2">
        <v>56.101999999999983</v>
      </c>
      <c r="M38" s="3">
        <v>561.01999999999975</v>
      </c>
      <c r="N38" s="7">
        <v>15.92</v>
      </c>
      <c r="O38" s="4">
        <f t="shared" si="7"/>
        <v>159.20000000000002</v>
      </c>
      <c r="P38" s="2">
        <f t="shared" si="8"/>
        <v>83.169787297340122</v>
      </c>
      <c r="Q38" s="3">
        <f t="shared" si="9"/>
        <v>831.69787297340122</v>
      </c>
      <c r="V38">
        <f t="shared" si="10"/>
        <v>642.07140416841071</v>
      </c>
      <c r="W38">
        <f t="shared" si="11"/>
        <v>685.01838628141309</v>
      </c>
      <c r="X38">
        <f t="shared" si="13"/>
        <v>763.59369814554714</v>
      </c>
      <c r="Y38">
        <f t="shared" si="12"/>
        <v>449.5778779028924</v>
      </c>
    </row>
    <row r="39" spans="2:25" x14ac:dyDescent="0.25">
      <c r="B39" t="s">
        <v>103</v>
      </c>
      <c r="D39" t="s">
        <v>16</v>
      </c>
      <c r="F39" t="s">
        <v>24</v>
      </c>
      <c r="G39">
        <v>80</v>
      </c>
      <c r="H39">
        <v>80</v>
      </c>
      <c r="I39" t="s">
        <v>18</v>
      </c>
      <c r="J39" s="2">
        <v>18.77011192505169</v>
      </c>
      <c r="K39" s="3">
        <v>234.62639906314621</v>
      </c>
      <c r="L39" s="2">
        <v>36.963000000000001</v>
      </c>
      <c r="M39" s="3">
        <v>462.03750000000002</v>
      </c>
      <c r="N39" s="7">
        <v>10.496266</v>
      </c>
      <c r="O39" s="4">
        <f t="shared" si="7"/>
        <v>131.20332500000001</v>
      </c>
      <c r="P39" s="2">
        <f t="shared" si="8"/>
        <v>66.229377925051693</v>
      </c>
      <c r="Q39" s="3">
        <f t="shared" si="9"/>
        <v>827.86722406314618</v>
      </c>
      <c r="V39">
        <f t="shared" si="10"/>
        <v>642.07140416841071</v>
      </c>
      <c r="W39">
        <f t="shared" si="11"/>
        <v>685.01838628141309</v>
      </c>
      <c r="X39">
        <f t="shared" si="13"/>
        <v>763.59369814554714</v>
      </c>
      <c r="Y39">
        <f t="shared" si="12"/>
        <v>449.5778779028924</v>
      </c>
    </row>
    <row r="40" spans="2:25" x14ac:dyDescent="0.25">
      <c r="B40" t="s">
        <v>137</v>
      </c>
      <c r="D40" t="s">
        <v>22</v>
      </c>
      <c r="F40" t="s">
        <v>24</v>
      </c>
      <c r="G40">
        <v>200</v>
      </c>
      <c r="H40">
        <v>200</v>
      </c>
      <c r="I40" t="s">
        <v>29</v>
      </c>
      <c r="J40" s="2">
        <v>24.711726599646259</v>
      </c>
      <c r="K40" s="3">
        <v>123.5586329982313</v>
      </c>
      <c r="L40" s="2">
        <v>114.742</v>
      </c>
      <c r="M40" s="3">
        <v>573.70999999999981</v>
      </c>
      <c r="N40" s="7">
        <v>22.72</v>
      </c>
      <c r="O40" s="4">
        <f t="shared" si="7"/>
        <v>113.6</v>
      </c>
      <c r="P40" s="2">
        <f t="shared" si="8"/>
        <v>162.17372659964627</v>
      </c>
      <c r="Q40" s="3">
        <f t="shared" si="9"/>
        <v>810.86863299823131</v>
      </c>
      <c r="V40">
        <f t="shared" si="10"/>
        <v>642.07140416841071</v>
      </c>
      <c r="W40">
        <f t="shared" si="11"/>
        <v>685.01838628141309</v>
      </c>
      <c r="X40">
        <f t="shared" si="13"/>
        <v>763.59369814554714</v>
      </c>
      <c r="Y40">
        <f t="shared" si="12"/>
        <v>449.5778779028924</v>
      </c>
    </row>
    <row r="41" spans="2:25" x14ac:dyDescent="0.25">
      <c r="B41" t="s">
        <v>44</v>
      </c>
      <c r="D41" t="s">
        <v>20</v>
      </c>
      <c r="F41" t="s">
        <v>24</v>
      </c>
      <c r="G41">
        <v>250</v>
      </c>
      <c r="H41">
        <v>250</v>
      </c>
      <c r="I41" t="s">
        <v>18</v>
      </c>
      <c r="J41" s="2">
        <v>88.92953172099827</v>
      </c>
      <c r="K41" s="3">
        <v>355.71812688399308</v>
      </c>
      <c r="L41" s="2">
        <v>106.22199999999999</v>
      </c>
      <c r="M41" s="3">
        <v>424.88799999999998</v>
      </c>
      <c r="N41" s="7">
        <v>6.29</v>
      </c>
      <c r="O41" s="4">
        <f t="shared" si="7"/>
        <v>25.16</v>
      </c>
      <c r="P41" s="2">
        <f t="shared" si="8"/>
        <v>201.44153172099826</v>
      </c>
      <c r="Q41" s="3">
        <f t="shared" si="9"/>
        <v>805.76612688399302</v>
      </c>
      <c r="V41">
        <f t="shared" si="10"/>
        <v>642.07140416841071</v>
      </c>
      <c r="W41">
        <f t="shared" si="11"/>
        <v>685.01838628141309</v>
      </c>
      <c r="X41">
        <f t="shared" si="13"/>
        <v>763.59369814554714</v>
      </c>
      <c r="Y41">
        <f t="shared" si="12"/>
        <v>449.5778779028924</v>
      </c>
    </row>
    <row r="42" spans="2:25" x14ac:dyDescent="0.25">
      <c r="B42" t="s">
        <v>63</v>
      </c>
      <c r="D42" t="s">
        <v>16</v>
      </c>
      <c r="F42" t="s">
        <v>24</v>
      </c>
      <c r="G42">
        <v>200</v>
      </c>
      <c r="H42">
        <v>200</v>
      </c>
      <c r="I42" t="s">
        <v>18</v>
      </c>
      <c r="J42" s="2">
        <v>38.988</v>
      </c>
      <c r="K42" s="3">
        <v>194.94</v>
      </c>
      <c r="L42" s="2">
        <v>96.902000000000001</v>
      </c>
      <c r="M42" s="3">
        <v>484.51</v>
      </c>
      <c r="N42" s="7">
        <v>22.059536000000001</v>
      </c>
      <c r="O42" s="4">
        <f t="shared" si="7"/>
        <v>110.29768000000001</v>
      </c>
      <c r="P42" s="2">
        <f t="shared" si="8"/>
        <v>157.94953599999999</v>
      </c>
      <c r="Q42" s="3">
        <f t="shared" si="9"/>
        <v>789.74767999999995</v>
      </c>
      <c r="V42">
        <f t="shared" si="10"/>
        <v>642.07140416841071</v>
      </c>
      <c r="W42">
        <f t="shared" si="11"/>
        <v>685.01838628141309</v>
      </c>
      <c r="X42">
        <f t="shared" si="13"/>
        <v>763.59369814554714</v>
      </c>
      <c r="Y42">
        <f t="shared" si="12"/>
        <v>449.5778779028924</v>
      </c>
    </row>
    <row r="43" spans="2:25" x14ac:dyDescent="0.25">
      <c r="B43" t="s">
        <v>82</v>
      </c>
      <c r="D43" t="s">
        <v>16</v>
      </c>
      <c r="F43" t="s">
        <v>17</v>
      </c>
      <c r="G43">
        <v>100</v>
      </c>
      <c r="H43">
        <v>100</v>
      </c>
      <c r="I43" t="s">
        <v>18</v>
      </c>
      <c r="J43" s="2">
        <v>62.376605117880381</v>
      </c>
      <c r="K43" s="3">
        <v>623.76605117880376</v>
      </c>
      <c r="L43" s="2">
        <v>0</v>
      </c>
      <c r="M43" s="3">
        <v>0</v>
      </c>
      <c r="N43" s="7">
        <v>15.8</v>
      </c>
      <c r="O43" s="4">
        <f t="shared" si="7"/>
        <v>158</v>
      </c>
      <c r="P43" s="2">
        <f t="shared" si="8"/>
        <v>78.176605117880385</v>
      </c>
      <c r="Q43" s="3">
        <f t="shared" si="9"/>
        <v>781.76605117880388</v>
      </c>
      <c r="V43">
        <f t="shared" si="10"/>
        <v>642.07140416841071</v>
      </c>
      <c r="W43">
        <f t="shared" si="11"/>
        <v>685.01838628141309</v>
      </c>
      <c r="X43">
        <f t="shared" si="13"/>
        <v>763.59369814554714</v>
      </c>
      <c r="Y43">
        <f t="shared" si="12"/>
        <v>449.5778779028924</v>
      </c>
    </row>
    <row r="44" spans="2:25" x14ac:dyDescent="0.25">
      <c r="B44" t="s">
        <v>131</v>
      </c>
      <c r="D44" t="s">
        <v>22</v>
      </c>
      <c r="F44" t="s">
        <v>24</v>
      </c>
      <c r="G44">
        <v>200</v>
      </c>
      <c r="H44">
        <v>200</v>
      </c>
      <c r="I44" t="s">
        <v>18</v>
      </c>
      <c r="J44" s="2">
        <v>19.912159652051692</v>
      </c>
      <c r="K44" s="3">
        <v>99.560798260258451</v>
      </c>
      <c r="L44" s="2">
        <v>127.70399999999999</v>
      </c>
      <c r="M44" s="3">
        <v>638.5200000000001</v>
      </c>
      <c r="N44" s="7">
        <v>8.56</v>
      </c>
      <c r="O44" s="4">
        <f t="shared" si="7"/>
        <v>42.800000000000004</v>
      </c>
      <c r="P44" s="2">
        <f t="shared" si="8"/>
        <v>156.17615965205169</v>
      </c>
      <c r="Q44" s="3">
        <f t="shared" si="9"/>
        <v>780.88079826025842</v>
      </c>
      <c r="V44">
        <f t="shared" si="10"/>
        <v>642.07140416841071</v>
      </c>
      <c r="W44">
        <f t="shared" si="11"/>
        <v>685.01838628141309</v>
      </c>
      <c r="X44">
        <f t="shared" si="13"/>
        <v>763.59369814554714</v>
      </c>
      <c r="Y44">
        <f t="shared" si="12"/>
        <v>449.5778779028924</v>
      </c>
    </row>
    <row r="45" spans="2:25" x14ac:dyDescent="0.25">
      <c r="B45" t="s">
        <v>111</v>
      </c>
      <c r="D45" t="s">
        <v>16</v>
      </c>
      <c r="F45" t="s">
        <v>24</v>
      </c>
      <c r="G45">
        <v>180</v>
      </c>
      <c r="H45">
        <v>180</v>
      </c>
      <c r="I45" t="s">
        <v>33</v>
      </c>
      <c r="J45" s="2">
        <v>14.12709934367405</v>
      </c>
      <c r="K45" s="3">
        <v>78.48388524263359</v>
      </c>
      <c r="L45" s="2">
        <v>117.73099999999999</v>
      </c>
      <c r="M45" s="3">
        <v>654.06111111111125</v>
      </c>
      <c r="N45" s="7">
        <v>5.4219710000000001</v>
      </c>
      <c r="O45" s="4">
        <f t="shared" si="7"/>
        <v>30.122061111111112</v>
      </c>
      <c r="P45" s="2">
        <f t="shared" si="8"/>
        <v>137.28007034367405</v>
      </c>
      <c r="Q45" s="3">
        <f t="shared" si="9"/>
        <v>762.66705746485582</v>
      </c>
      <c r="V45">
        <f t="shared" si="10"/>
        <v>642.07140416841071</v>
      </c>
      <c r="W45">
        <f t="shared" si="11"/>
        <v>685.01838628141309</v>
      </c>
      <c r="X45">
        <f t="shared" si="13"/>
        <v>763.59369814554714</v>
      </c>
      <c r="Y45">
        <f t="shared" si="12"/>
        <v>449.5778779028924</v>
      </c>
    </row>
    <row r="46" spans="2:25" x14ac:dyDescent="0.25">
      <c r="B46" t="s">
        <v>94</v>
      </c>
      <c r="D46" t="s">
        <v>22</v>
      </c>
      <c r="F46" t="s">
        <v>24</v>
      </c>
      <c r="G46">
        <v>125</v>
      </c>
      <c r="H46">
        <v>125</v>
      </c>
      <c r="I46" t="s">
        <v>18</v>
      </c>
      <c r="J46" s="2">
        <v>5.6771760384295291</v>
      </c>
      <c r="K46" s="3">
        <v>45.417408307436233</v>
      </c>
      <c r="L46" s="2">
        <v>69.914999999999992</v>
      </c>
      <c r="M46" s="3">
        <v>559.31999999999994</v>
      </c>
      <c r="N46" s="7">
        <v>18.63</v>
      </c>
      <c r="O46" s="4">
        <f t="shared" si="7"/>
        <v>149.04</v>
      </c>
      <c r="P46" s="2">
        <f t="shared" si="8"/>
        <v>94.222176038429524</v>
      </c>
      <c r="Q46" s="3">
        <f t="shared" si="9"/>
        <v>753.77740830743619</v>
      </c>
      <c r="V46">
        <f t="shared" si="10"/>
        <v>642.07140416841071</v>
      </c>
      <c r="W46">
        <f t="shared" si="11"/>
        <v>685.01838628141309</v>
      </c>
      <c r="X46">
        <f t="shared" si="13"/>
        <v>763.59369814554714</v>
      </c>
      <c r="Y46">
        <f t="shared" si="12"/>
        <v>449.5778779028924</v>
      </c>
    </row>
    <row r="47" spans="2:25" x14ac:dyDescent="0.25">
      <c r="B47" t="s">
        <v>64</v>
      </c>
      <c r="C47" t="s">
        <v>65</v>
      </c>
      <c r="D47" t="s">
        <v>22</v>
      </c>
      <c r="F47" t="s">
        <v>24</v>
      </c>
      <c r="G47">
        <v>150</v>
      </c>
      <c r="H47">
        <v>150</v>
      </c>
      <c r="I47" t="s">
        <v>29</v>
      </c>
      <c r="J47" s="2">
        <v>34.250588755558617</v>
      </c>
      <c r="K47" s="3">
        <v>228.3372583703908</v>
      </c>
      <c r="L47" s="2">
        <v>50.759999999999977</v>
      </c>
      <c r="M47" s="3">
        <v>338.39999999999992</v>
      </c>
      <c r="N47" s="7">
        <v>27.562999999999999</v>
      </c>
      <c r="O47" s="4">
        <f t="shared" si="7"/>
        <v>183.75333333333333</v>
      </c>
      <c r="P47" s="2">
        <f t="shared" si="8"/>
        <v>112.57358875555859</v>
      </c>
      <c r="Q47" s="3">
        <f t="shared" si="9"/>
        <v>750.49059170372391</v>
      </c>
      <c r="V47">
        <f t="shared" si="10"/>
        <v>642.07140416841071</v>
      </c>
      <c r="W47">
        <f t="shared" si="11"/>
        <v>685.01838628141309</v>
      </c>
      <c r="X47">
        <f t="shared" si="13"/>
        <v>763.59369814554714</v>
      </c>
      <c r="Y47">
        <f t="shared" si="12"/>
        <v>449.5778779028924</v>
      </c>
    </row>
    <row r="48" spans="2:25" x14ac:dyDescent="0.25">
      <c r="B48" t="s">
        <v>30</v>
      </c>
      <c r="D48" t="s">
        <v>16</v>
      </c>
      <c r="F48" t="s">
        <v>24</v>
      </c>
      <c r="G48">
        <v>38.799999999999997</v>
      </c>
      <c r="H48">
        <v>38.799999999999997</v>
      </c>
      <c r="I48" t="s">
        <v>31</v>
      </c>
      <c r="J48" s="2">
        <v>7.9072139063897797</v>
      </c>
      <c r="K48" s="3">
        <v>203.79417284509739</v>
      </c>
      <c r="L48" s="2">
        <v>14.805999999999999</v>
      </c>
      <c r="M48" s="3">
        <v>381.59793814432999</v>
      </c>
      <c r="N48" s="7">
        <v>6.0858350000000003</v>
      </c>
      <c r="O48" s="4">
        <f t="shared" si="7"/>
        <v>156.85141752577323</v>
      </c>
      <c r="P48" s="2">
        <f t="shared" si="8"/>
        <v>28.799048906389778</v>
      </c>
      <c r="Q48" s="3">
        <f t="shared" si="9"/>
        <v>742.24352851520052</v>
      </c>
      <c r="V48">
        <f t="shared" si="10"/>
        <v>642.07140416841071</v>
      </c>
      <c r="W48">
        <f t="shared" si="11"/>
        <v>685.01838628141309</v>
      </c>
      <c r="X48">
        <f t="shared" si="13"/>
        <v>763.59369814554714</v>
      </c>
      <c r="Y48">
        <f t="shared" si="12"/>
        <v>449.5778779028924</v>
      </c>
    </row>
    <row r="49" spans="2:25" x14ac:dyDescent="0.25">
      <c r="B49" t="s">
        <v>60</v>
      </c>
      <c r="D49" t="s">
        <v>16</v>
      </c>
      <c r="F49" t="s">
        <v>24</v>
      </c>
      <c r="G49">
        <v>162</v>
      </c>
      <c r="H49">
        <v>162</v>
      </c>
      <c r="I49" t="s">
        <v>18</v>
      </c>
      <c r="J49" s="2">
        <v>14.931638585951459</v>
      </c>
      <c r="K49" s="3">
        <v>92.17060855525591</v>
      </c>
      <c r="L49" s="2">
        <v>52.689</v>
      </c>
      <c r="M49" s="3">
        <v>325.2407407407407</v>
      </c>
      <c r="N49" s="7">
        <v>51.533999999999999</v>
      </c>
      <c r="O49" s="4">
        <f t="shared" si="7"/>
        <v>318.11111111111114</v>
      </c>
      <c r="P49" s="2">
        <f t="shared" si="8"/>
        <v>119.15463858595146</v>
      </c>
      <c r="Q49" s="3">
        <f t="shared" si="9"/>
        <v>735.52246040710781</v>
      </c>
      <c r="V49">
        <f t="shared" si="10"/>
        <v>642.07140416841071</v>
      </c>
      <c r="W49">
        <f t="shared" si="11"/>
        <v>685.01838628141309</v>
      </c>
      <c r="X49">
        <f t="shared" si="13"/>
        <v>763.59369814554714</v>
      </c>
      <c r="Y49">
        <f t="shared" si="12"/>
        <v>449.5778779028924</v>
      </c>
    </row>
    <row r="50" spans="2:25" x14ac:dyDescent="0.25">
      <c r="B50" t="s">
        <v>106</v>
      </c>
      <c r="D50" t="s">
        <v>47</v>
      </c>
      <c r="F50" t="s">
        <v>24</v>
      </c>
      <c r="G50">
        <v>100</v>
      </c>
      <c r="H50">
        <v>100</v>
      </c>
      <c r="I50" t="s">
        <v>18</v>
      </c>
      <c r="J50" s="2">
        <v>4.5413640630066174</v>
      </c>
      <c r="K50" s="3">
        <v>45.413640630066169</v>
      </c>
      <c r="L50" s="2">
        <v>41.962000000000003</v>
      </c>
      <c r="M50" s="3">
        <v>419.62000000000012</v>
      </c>
      <c r="N50" s="7">
        <v>25.934000000000001</v>
      </c>
      <c r="O50" s="4">
        <f t="shared" si="7"/>
        <v>259.34000000000003</v>
      </c>
      <c r="P50" s="2">
        <f t="shared" si="8"/>
        <v>72.437364063006626</v>
      </c>
      <c r="Q50" s="3">
        <f t="shared" si="9"/>
        <v>724.37364063006623</v>
      </c>
      <c r="V50">
        <f t="shared" si="10"/>
        <v>642.07140416841071</v>
      </c>
      <c r="W50">
        <f t="shared" si="11"/>
        <v>685.01838628141309</v>
      </c>
      <c r="X50">
        <f t="shared" si="13"/>
        <v>763.59369814554714</v>
      </c>
      <c r="Y50">
        <f t="shared" si="12"/>
        <v>449.5778779028924</v>
      </c>
    </row>
    <row r="51" spans="2:25" x14ac:dyDescent="0.25">
      <c r="B51" t="s">
        <v>39</v>
      </c>
      <c r="D51" t="s">
        <v>16</v>
      </c>
      <c r="F51" t="s">
        <v>17</v>
      </c>
      <c r="G51">
        <v>600</v>
      </c>
      <c r="H51">
        <v>600</v>
      </c>
      <c r="I51" t="s">
        <v>18</v>
      </c>
      <c r="J51" s="2">
        <v>393.30420898791141</v>
      </c>
      <c r="K51" s="3">
        <v>655.50701497985222</v>
      </c>
      <c r="L51" s="2">
        <v>0</v>
      </c>
      <c r="M51" s="3">
        <v>0</v>
      </c>
      <c r="N51" s="7">
        <v>10.46</v>
      </c>
      <c r="O51" s="4">
        <f t="shared" si="7"/>
        <v>17.433333333333337</v>
      </c>
      <c r="P51" s="2">
        <f t="shared" si="8"/>
        <v>403.76420898791139</v>
      </c>
      <c r="Q51" s="3">
        <f t="shared" si="9"/>
        <v>672.94034831318561</v>
      </c>
      <c r="V51">
        <f t="shared" si="10"/>
        <v>642.07140416841071</v>
      </c>
      <c r="W51">
        <f t="shared" si="11"/>
        <v>685.01838628141309</v>
      </c>
      <c r="X51">
        <f t="shared" si="13"/>
        <v>763.59369814554714</v>
      </c>
      <c r="Y51">
        <f t="shared" si="12"/>
        <v>449.5778779028924</v>
      </c>
    </row>
    <row r="52" spans="2:25" x14ac:dyDescent="0.25">
      <c r="B52" t="s">
        <v>142</v>
      </c>
      <c r="D52" t="s">
        <v>22</v>
      </c>
      <c r="F52" t="s">
        <v>24</v>
      </c>
      <c r="G52">
        <v>100</v>
      </c>
      <c r="H52">
        <v>100</v>
      </c>
      <c r="I52" t="s">
        <v>18</v>
      </c>
      <c r="J52" s="2">
        <v>5.3892256561971461</v>
      </c>
      <c r="K52" s="3">
        <v>53.892256561971458</v>
      </c>
      <c r="L52" s="2">
        <v>53.002999999999993</v>
      </c>
      <c r="M52" s="3">
        <v>530.02999999999986</v>
      </c>
      <c r="N52" s="7">
        <v>7.45</v>
      </c>
      <c r="O52" s="4">
        <f t="shared" si="7"/>
        <v>74.5</v>
      </c>
      <c r="P52" s="2">
        <f t="shared" si="8"/>
        <v>65.842225656197144</v>
      </c>
      <c r="Q52" s="3">
        <f t="shared" si="9"/>
        <v>658.42225656197138</v>
      </c>
      <c r="V52">
        <f t="shared" si="10"/>
        <v>642.07140416841071</v>
      </c>
      <c r="W52">
        <f t="shared" si="11"/>
        <v>685.01838628141309</v>
      </c>
      <c r="X52">
        <f t="shared" si="13"/>
        <v>763.59369814554714</v>
      </c>
      <c r="Y52">
        <f t="shared" si="12"/>
        <v>449.5778779028924</v>
      </c>
    </row>
    <row r="53" spans="2:25" x14ac:dyDescent="0.25">
      <c r="B53" t="s">
        <v>134</v>
      </c>
      <c r="D53" t="s">
        <v>22</v>
      </c>
      <c r="F53" t="s">
        <v>24</v>
      </c>
      <c r="G53">
        <v>100</v>
      </c>
      <c r="H53">
        <v>100</v>
      </c>
      <c r="I53" t="s">
        <v>29</v>
      </c>
      <c r="J53" s="2">
        <v>2.5318359509536812</v>
      </c>
      <c r="K53" s="3">
        <v>25.318359509536808</v>
      </c>
      <c r="L53" s="2">
        <v>43.820000000000007</v>
      </c>
      <c r="M53" s="3">
        <v>438.2000000000001</v>
      </c>
      <c r="N53" s="7">
        <v>18.940000000000001</v>
      </c>
      <c r="O53" s="4">
        <f t="shared" si="7"/>
        <v>189.4</v>
      </c>
      <c r="P53" s="2">
        <f t="shared" si="8"/>
        <v>65.291835950953683</v>
      </c>
      <c r="Q53" s="3">
        <f t="shared" si="9"/>
        <v>652.9183595095368</v>
      </c>
      <c r="V53">
        <f t="shared" si="10"/>
        <v>642.07140416841071</v>
      </c>
      <c r="W53">
        <f t="shared" si="11"/>
        <v>685.01838628141309</v>
      </c>
      <c r="X53">
        <f t="shared" si="13"/>
        <v>763.59369814554714</v>
      </c>
      <c r="Y53">
        <f t="shared" si="12"/>
        <v>449.5778779028924</v>
      </c>
    </row>
    <row r="54" spans="2:25" x14ac:dyDescent="0.25">
      <c r="B54" t="s">
        <v>143</v>
      </c>
      <c r="D54" t="s">
        <v>47</v>
      </c>
      <c r="F54" t="s">
        <v>24</v>
      </c>
      <c r="G54">
        <v>200</v>
      </c>
      <c r="H54">
        <v>200</v>
      </c>
      <c r="I54" t="s">
        <v>31</v>
      </c>
      <c r="J54" s="2">
        <v>28.015755997483371</v>
      </c>
      <c r="K54" s="3">
        <v>140.07877998741691</v>
      </c>
      <c r="L54" s="2">
        <v>85.657000000000011</v>
      </c>
      <c r="M54" s="3">
        <v>428.28500000000003</v>
      </c>
      <c r="N54" s="7">
        <v>15.212999999999999</v>
      </c>
      <c r="O54" s="4">
        <f t="shared" si="7"/>
        <v>76.064999999999998</v>
      </c>
      <c r="P54" s="2">
        <f t="shared" si="8"/>
        <v>128.88575599748339</v>
      </c>
      <c r="Q54" s="3">
        <f t="shared" si="9"/>
        <v>644.42877998741687</v>
      </c>
      <c r="V54">
        <f t="shared" si="10"/>
        <v>642.07140416841071</v>
      </c>
      <c r="W54">
        <f t="shared" si="11"/>
        <v>685.01838628141309</v>
      </c>
      <c r="X54">
        <f t="shared" si="13"/>
        <v>763.59369814554714</v>
      </c>
      <c r="Y54">
        <f t="shared" si="12"/>
        <v>449.5778779028924</v>
      </c>
    </row>
    <row r="55" spans="2:25" x14ac:dyDescent="0.25">
      <c r="B55" t="s">
        <v>104</v>
      </c>
      <c r="D55" t="s">
        <v>16</v>
      </c>
      <c r="F55" t="s">
        <v>17</v>
      </c>
      <c r="G55">
        <v>92</v>
      </c>
      <c r="H55">
        <v>92</v>
      </c>
      <c r="I55" t="s">
        <v>18</v>
      </c>
      <c r="J55" s="2">
        <v>58.942154513043832</v>
      </c>
      <c r="K55" s="3">
        <v>640.67559253308514</v>
      </c>
      <c r="L55" s="2">
        <v>0</v>
      </c>
      <c r="M55" s="3">
        <v>0</v>
      </c>
      <c r="N55" s="7">
        <v>0</v>
      </c>
      <c r="O55" s="4">
        <f t="shared" si="7"/>
        <v>0</v>
      </c>
      <c r="P55" s="2">
        <f t="shared" si="8"/>
        <v>58.942154513043832</v>
      </c>
      <c r="Q55" s="3">
        <f t="shared" si="9"/>
        <v>640.67559253308514</v>
      </c>
      <c r="V55">
        <f t="shared" si="10"/>
        <v>642.07140416841071</v>
      </c>
      <c r="W55">
        <f t="shared" si="11"/>
        <v>685.01838628141309</v>
      </c>
      <c r="X55">
        <f t="shared" si="13"/>
        <v>763.59369814554714</v>
      </c>
      <c r="Y55">
        <f t="shared" si="12"/>
        <v>449.5778779028924</v>
      </c>
    </row>
    <row r="56" spans="2:25" x14ac:dyDescent="0.25">
      <c r="B56" t="s">
        <v>141</v>
      </c>
      <c r="D56" t="s">
        <v>20</v>
      </c>
      <c r="F56" t="s">
        <v>24</v>
      </c>
      <c r="G56">
        <v>225</v>
      </c>
      <c r="H56">
        <v>225</v>
      </c>
      <c r="I56" t="s">
        <v>18</v>
      </c>
      <c r="J56" s="2">
        <v>84.529463748907887</v>
      </c>
      <c r="K56" s="3">
        <v>375.68650555070172</v>
      </c>
      <c r="L56" s="2">
        <v>54.263000000000012</v>
      </c>
      <c r="M56" s="3">
        <v>241.16888888888889</v>
      </c>
      <c r="N56" s="7">
        <v>3.83</v>
      </c>
      <c r="O56" s="4">
        <f t="shared" si="7"/>
        <v>17.022222222222222</v>
      </c>
      <c r="P56" s="2">
        <f t="shared" si="8"/>
        <v>142.6224637489079</v>
      </c>
      <c r="Q56" s="3">
        <f t="shared" si="9"/>
        <v>633.87761666181291</v>
      </c>
      <c r="V56">
        <f t="shared" si="10"/>
        <v>642.07140416841071</v>
      </c>
      <c r="W56">
        <f t="shared" si="11"/>
        <v>685.01838628141309</v>
      </c>
      <c r="X56">
        <f t="shared" si="13"/>
        <v>763.59369814554714</v>
      </c>
      <c r="Y56">
        <f t="shared" si="12"/>
        <v>449.5778779028924</v>
      </c>
    </row>
    <row r="57" spans="2:25" x14ac:dyDescent="0.25">
      <c r="B57" t="s">
        <v>95</v>
      </c>
      <c r="C57" t="s">
        <v>96</v>
      </c>
      <c r="D57" t="s">
        <v>20</v>
      </c>
      <c r="F57" t="s">
        <v>24</v>
      </c>
      <c r="G57">
        <v>200</v>
      </c>
      <c r="H57">
        <v>200</v>
      </c>
      <c r="I57" t="s">
        <v>29</v>
      </c>
      <c r="J57" s="2">
        <v>108.9875971733629</v>
      </c>
      <c r="K57" s="3">
        <v>544.93798586681442</v>
      </c>
      <c r="L57" s="2">
        <v>0</v>
      </c>
      <c r="M57" s="3">
        <v>0</v>
      </c>
      <c r="N57" s="7">
        <v>14.9</v>
      </c>
      <c r="O57" s="4">
        <f t="shared" si="7"/>
        <v>74.5</v>
      </c>
      <c r="P57" s="2">
        <f t="shared" si="8"/>
        <v>123.88759717336291</v>
      </c>
      <c r="Q57" s="3">
        <f t="shared" si="9"/>
        <v>619.43798586681453</v>
      </c>
      <c r="V57">
        <f t="shared" si="10"/>
        <v>642.07140416841071</v>
      </c>
      <c r="W57">
        <f t="shared" si="11"/>
        <v>685.01838628141309</v>
      </c>
      <c r="X57">
        <f t="shared" si="13"/>
        <v>763.59369814554714</v>
      </c>
      <c r="Y57">
        <f t="shared" si="12"/>
        <v>449.5778779028924</v>
      </c>
    </row>
    <row r="58" spans="2:25" x14ac:dyDescent="0.25">
      <c r="B58" t="s">
        <v>81</v>
      </c>
      <c r="D58" t="s">
        <v>22</v>
      </c>
      <c r="F58" t="s">
        <v>17</v>
      </c>
      <c r="G58">
        <v>130</v>
      </c>
      <c r="H58">
        <v>130</v>
      </c>
      <c r="I58" t="s">
        <v>18</v>
      </c>
      <c r="J58" s="2">
        <v>52.248042597246219</v>
      </c>
      <c r="K58" s="3">
        <v>401.90801997881709</v>
      </c>
      <c r="L58" s="2">
        <v>0</v>
      </c>
      <c r="M58" s="3">
        <v>0</v>
      </c>
      <c r="N58" s="7">
        <v>25.620999999999999</v>
      </c>
      <c r="O58" s="4">
        <f t="shared" si="7"/>
        <v>197.08461538461538</v>
      </c>
      <c r="P58" s="2">
        <f t="shared" si="8"/>
        <v>77.869042597246221</v>
      </c>
      <c r="Q58" s="3">
        <f t="shared" si="9"/>
        <v>598.99263536343256</v>
      </c>
      <c r="V58">
        <f t="shared" si="10"/>
        <v>642.07140416841071</v>
      </c>
      <c r="W58">
        <f t="shared" si="11"/>
        <v>685.01838628141309</v>
      </c>
      <c r="X58">
        <f t="shared" si="13"/>
        <v>763.59369814554714</v>
      </c>
      <c r="Y58">
        <f t="shared" si="12"/>
        <v>449.5778779028924</v>
      </c>
    </row>
    <row r="59" spans="2:25" x14ac:dyDescent="0.25">
      <c r="B59" t="s">
        <v>139</v>
      </c>
      <c r="D59" t="s">
        <v>16</v>
      </c>
      <c r="F59" t="s">
        <v>24</v>
      </c>
      <c r="G59">
        <v>100</v>
      </c>
      <c r="H59">
        <v>100</v>
      </c>
      <c r="I59" t="s">
        <v>18</v>
      </c>
      <c r="J59" s="2">
        <v>0</v>
      </c>
      <c r="K59" s="3">
        <v>0</v>
      </c>
      <c r="L59" s="2">
        <v>37.723999999999997</v>
      </c>
      <c r="M59" s="3">
        <v>377.24</v>
      </c>
      <c r="N59" s="7">
        <v>21.263999999999999</v>
      </c>
      <c r="O59" s="4">
        <f t="shared" si="7"/>
        <v>212.64</v>
      </c>
      <c r="P59" s="2">
        <f t="shared" si="8"/>
        <v>58.988</v>
      </c>
      <c r="Q59" s="3">
        <f t="shared" si="9"/>
        <v>589.88</v>
      </c>
      <c r="V59">
        <f t="shared" si="10"/>
        <v>642.07140416841071</v>
      </c>
      <c r="W59">
        <f t="shared" si="11"/>
        <v>685.01838628141309</v>
      </c>
      <c r="X59">
        <f t="shared" si="13"/>
        <v>763.59369814554714</v>
      </c>
      <c r="Y59">
        <f t="shared" si="12"/>
        <v>449.5778779028924</v>
      </c>
    </row>
    <row r="60" spans="2:25" x14ac:dyDescent="0.25">
      <c r="B60" t="s">
        <v>70</v>
      </c>
      <c r="D60" t="s">
        <v>20</v>
      </c>
      <c r="F60" t="s">
        <v>17</v>
      </c>
      <c r="G60">
        <v>125</v>
      </c>
      <c r="H60">
        <v>125</v>
      </c>
      <c r="I60" t="s">
        <v>18</v>
      </c>
      <c r="J60" s="2">
        <v>62.119875698617108</v>
      </c>
      <c r="K60" s="3">
        <v>496.95900558893692</v>
      </c>
      <c r="L60" s="2">
        <v>0</v>
      </c>
      <c r="M60" s="3">
        <v>0</v>
      </c>
      <c r="N60" s="7">
        <v>11.18</v>
      </c>
      <c r="O60" s="4">
        <f t="shared" si="7"/>
        <v>89.44</v>
      </c>
      <c r="P60" s="2">
        <f t="shared" si="8"/>
        <v>73.299875698617114</v>
      </c>
      <c r="Q60" s="3">
        <f t="shared" si="9"/>
        <v>586.39900558893692</v>
      </c>
      <c r="V60">
        <f t="shared" si="10"/>
        <v>642.07140416841071</v>
      </c>
      <c r="W60">
        <f t="shared" si="11"/>
        <v>685.01838628141309</v>
      </c>
      <c r="X60">
        <f t="shared" si="13"/>
        <v>763.59369814554714</v>
      </c>
      <c r="Y60">
        <f t="shared" si="12"/>
        <v>449.5778779028924</v>
      </c>
    </row>
    <row r="61" spans="2:25" x14ac:dyDescent="0.25">
      <c r="B61" t="s">
        <v>77</v>
      </c>
      <c r="D61" t="s">
        <v>22</v>
      </c>
      <c r="F61" t="s">
        <v>24</v>
      </c>
      <c r="G61">
        <v>150</v>
      </c>
      <c r="H61">
        <v>150</v>
      </c>
      <c r="I61" t="s">
        <v>29</v>
      </c>
      <c r="J61" s="2">
        <v>7.5108783443277121</v>
      </c>
      <c r="K61" s="3">
        <v>50.072522295518077</v>
      </c>
      <c r="L61" s="2">
        <v>58.154000000000003</v>
      </c>
      <c r="M61" s="3">
        <v>387.69333333333333</v>
      </c>
      <c r="N61" s="7">
        <v>22.25</v>
      </c>
      <c r="O61" s="4">
        <f t="shared" si="7"/>
        <v>148.33333333333334</v>
      </c>
      <c r="P61" s="2">
        <f t="shared" si="8"/>
        <v>87.914878344327718</v>
      </c>
      <c r="Q61" s="3">
        <f t="shared" si="9"/>
        <v>586.09918896218483</v>
      </c>
      <c r="V61">
        <f t="shared" si="10"/>
        <v>642.07140416841071</v>
      </c>
      <c r="W61">
        <f t="shared" si="11"/>
        <v>685.01838628141309</v>
      </c>
      <c r="X61">
        <f t="shared" si="13"/>
        <v>763.59369814554714</v>
      </c>
      <c r="Y61">
        <f t="shared" si="12"/>
        <v>449.5778779028924</v>
      </c>
    </row>
    <row r="62" spans="2:25" x14ac:dyDescent="0.25">
      <c r="B62" t="s">
        <v>28</v>
      </c>
      <c r="D62" t="s">
        <v>22</v>
      </c>
      <c r="F62" t="s">
        <v>17</v>
      </c>
      <c r="G62">
        <v>160</v>
      </c>
      <c r="H62">
        <v>160</v>
      </c>
      <c r="I62" t="s">
        <v>29</v>
      </c>
      <c r="J62" s="2">
        <v>45.602387285724582</v>
      </c>
      <c r="K62" s="3">
        <v>285.01492053577857</v>
      </c>
      <c r="L62" s="2">
        <v>0</v>
      </c>
      <c r="M62" s="3">
        <v>0</v>
      </c>
      <c r="N62" s="7">
        <v>47.11</v>
      </c>
      <c r="O62" s="4">
        <f t="shared" si="7"/>
        <v>294.4375</v>
      </c>
      <c r="P62" s="2">
        <f t="shared" si="8"/>
        <v>92.712387285724589</v>
      </c>
      <c r="Q62" s="3">
        <f t="shared" si="9"/>
        <v>579.45242053577874</v>
      </c>
      <c r="V62">
        <f t="shared" si="10"/>
        <v>642.07140416841071</v>
      </c>
      <c r="W62">
        <f t="shared" si="11"/>
        <v>685.01838628141309</v>
      </c>
      <c r="X62">
        <f t="shared" si="13"/>
        <v>763.59369814554714</v>
      </c>
      <c r="Y62">
        <f t="shared" si="12"/>
        <v>449.5778779028924</v>
      </c>
    </row>
    <row r="63" spans="2:25" x14ac:dyDescent="0.25">
      <c r="B63" t="s">
        <v>144</v>
      </c>
      <c r="D63" t="s">
        <v>16</v>
      </c>
      <c r="F63" t="s">
        <v>24</v>
      </c>
      <c r="G63">
        <v>200</v>
      </c>
      <c r="H63">
        <v>200</v>
      </c>
      <c r="I63" t="s">
        <v>18</v>
      </c>
      <c r="J63" s="2">
        <v>27.260134342159049</v>
      </c>
      <c r="K63" s="3">
        <v>136.3006717107952</v>
      </c>
      <c r="L63" s="2">
        <v>0</v>
      </c>
      <c r="M63" s="3">
        <v>0</v>
      </c>
      <c r="N63" s="7">
        <v>87.244</v>
      </c>
      <c r="O63" s="4">
        <f t="shared" si="7"/>
        <v>436.21999999999997</v>
      </c>
      <c r="P63" s="2">
        <f t="shared" si="8"/>
        <v>114.50413434215905</v>
      </c>
      <c r="Q63" s="3">
        <f t="shared" si="9"/>
        <v>572.52067171079523</v>
      </c>
      <c r="V63">
        <f t="shared" si="10"/>
        <v>642.07140416841071</v>
      </c>
      <c r="W63">
        <f t="shared" si="11"/>
        <v>685.01838628141309</v>
      </c>
      <c r="X63">
        <f t="shared" si="13"/>
        <v>763.59369814554714</v>
      </c>
      <c r="Y63">
        <f t="shared" si="12"/>
        <v>449.5778779028924</v>
      </c>
    </row>
    <row r="64" spans="2:25" x14ac:dyDescent="0.25">
      <c r="B64" t="s">
        <v>49</v>
      </c>
      <c r="D64" t="s">
        <v>22</v>
      </c>
      <c r="F64" t="s">
        <v>24</v>
      </c>
      <c r="G64">
        <v>105.8</v>
      </c>
      <c r="H64">
        <v>105.8</v>
      </c>
      <c r="I64" t="s">
        <v>18</v>
      </c>
      <c r="J64" s="2">
        <v>3.1473114410937399</v>
      </c>
      <c r="K64" s="3">
        <v>29.747745189921929</v>
      </c>
      <c r="L64" s="2">
        <v>36.338000000000001</v>
      </c>
      <c r="M64" s="3">
        <v>343.45935727788282</v>
      </c>
      <c r="N64" s="7">
        <v>19.956</v>
      </c>
      <c r="O64" s="4">
        <f t="shared" si="7"/>
        <v>188.62003780718337</v>
      </c>
      <c r="P64" s="2">
        <f t="shared" si="8"/>
        <v>59.441311441093745</v>
      </c>
      <c r="Q64" s="3">
        <f t="shared" si="9"/>
        <v>561.8271402749881</v>
      </c>
      <c r="V64">
        <f t="shared" si="10"/>
        <v>642.07140416841071</v>
      </c>
      <c r="W64">
        <f t="shared" si="11"/>
        <v>685.01838628141309</v>
      </c>
      <c r="X64">
        <f t="shared" si="13"/>
        <v>763.59369814554714</v>
      </c>
      <c r="Y64">
        <f t="shared" si="12"/>
        <v>449.5778779028924</v>
      </c>
    </row>
    <row r="65" spans="2:25" x14ac:dyDescent="0.25">
      <c r="B65" t="s">
        <v>75</v>
      </c>
      <c r="D65" t="s">
        <v>20</v>
      </c>
      <c r="F65" t="s">
        <v>24</v>
      </c>
      <c r="G65">
        <v>100</v>
      </c>
      <c r="H65">
        <v>100</v>
      </c>
      <c r="I65" t="s">
        <v>18</v>
      </c>
      <c r="J65" s="2">
        <v>3.9748929265226831</v>
      </c>
      <c r="K65" s="3">
        <v>39.748929265226828</v>
      </c>
      <c r="L65" s="2">
        <v>21.687999999999999</v>
      </c>
      <c r="M65" s="3">
        <v>216.88</v>
      </c>
      <c r="N65" s="7">
        <v>30.334202999999999</v>
      </c>
      <c r="O65" s="4">
        <f t="shared" si="7"/>
        <v>303.34202999999997</v>
      </c>
      <c r="P65" s="2">
        <f t="shared" si="8"/>
        <v>55.997095926522675</v>
      </c>
      <c r="Q65" s="3">
        <f t="shared" si="9"/>
        <v>559.97095926522672</v>
      </c>
      <c r="V65">
        <f t="shared" si="10"/>
        <v>642.07140416841071</v>
      </c>
      <c r="W65">
        <f t="shared" si="11"/>
        <v>685.01838628141309</v>
      </c>
      <c r="X65">
        <f t="shared" si="13"/>
        <v>763.59369814554714</v>
      </c>
      <c r="Y65">
        <f t="shared" si="12"/>
        <v>449.5778779028924</v>
      </c>
    </row>
    <row r="66" spans="2:25" x14ac:dyDescent="0.25">
      <c r="B66" t="s">
        <v>83</v>
      </c>
      <c r="D66" t="s">
        <v>22</v>
      </c>
      <c r="F66" t="s">
        <v>24</v>
      </c>
      <c r="G66">
        <v>130</v>
      </c>
      <c r="H66">
        <v>130</v>
      </c>
      <c r="I66" t="s">
        <v>29</v>
      </c>
      <c r="J66" s="2">
        <v>49.108428475199091</v>
      </c>
      <c r="K66" s="3">
        <v>377.7571421169161</v>
      </c>
      <c r="L66" s="2">
        <v>0</v>
      </c>
      <c r="M66" s="3">
        <v>0</v>
      </c>
      <c r="N66" s="7">
        <v>23.29</v>
      </c>
      <c r="O66" s="4">
        <f t="shared" ref="O66:O97" si="14">(N66/G66)*1000</f>
        <v>179.15384615384613</v>
      </c>
      <c r="P66" s="2">
        <f t="shared" ref="P66:P97" si="15">SUM(J66,L66,N66)</f>
        <v>72.398428475199097</v>
      </c>
      <c r="Q66" s="3">
        <f t="shared" ref="Q66:Q97" si="16">(P66/G66)*1000</f>
        <v>556.91098827076223</v>
      </c>
      <c r="V66">
        <f t="shared" ref="V66:V97" si="17">AVERAGEIF($D$2:$D$122, "AR", $Q$2:$Q$122)</f>
        <v>642.07140416841071</v>
      </c>
      <c r="W66">
        <f t="shared" ref="W66:W97" si="18">AVERAGEIF($D$2:$D$122, "LA", $Q$2:$Q$122)</f>
        <v>685.01838628141309</v>
      </c>
      <c r="X66">
        <f t="shared" ref="X66:X97" si="19">AVERAGEIF($D$2:$D$122, "MS", $Q$2:$Q$122)</f>
        <v>763.59369814554714</v>
      </c>
      <c r="Y66">
        <f t="shared" ref="Y66:Y97" si="20">AVERAGEIF($D$2:$D$122, "TX", $Q$2:$Q$122)</f>
        <v>449.5778779028924</v>
      </c>
    </row>
    <row r="67" spans="2:25" x14ac:dyDescent="0.25">
      <c r="B67" t="s">
        <v>55</v>
      </c>
      <c r="D67" t="s">
        <v>16</v>
      </c>
      <c r="F67" t="s">
        <v>24</v>
      </c>
      <c r="G67">
        <v>105</v>
      </c>
      <c r="H67">
        <v>105</v>
      </c>
      <c r="I67" t="s">
        <v>18</v>
      </c>
      <c r="J67" s="2">
        <v>48.527246845841091</v>
      </c>
      <c r="K67" s="3">
        <v>462.16425567467712</v>
      </c>
      <c r="L67" s="2">
        <v>0</v>
      </c>
      <c r="M67" s="3">
        <v>0</v>
      </c>
      <c r="N67" s="7">
        <v>9.7899999999999991</v>
      </c>
      <c r="O67" s="4">
        <f t="shared" si="14"/>
        <v>93.238095238095227</v>
      </c>
      <c r="P67" s="2">
        <f t="shared" si="15"/>
        <v>58.31724684584109</v>
      </c>
      <c r="Q67" s="3">
        <f t="shared" si="16"/>
        <v>555.40235091277225</v>
      </c>
      <c r="V67">
        <f t="shared" si="17"/>
        <v>642.07140416841071</v>
      </c>
      <c r="W67">
        <f t="shared" si="18"/>
        <v>685.01838628141309</v>
      </c>
      <c r="X67">
        <f t="shared" si="19"/>
        <v>763.59369814554714</v>
      </c>
      <c r="Y67">
        <f t="shared" si="20"/>
        <v>449.5778779028924</v>
      </c>
    </row>
    <row r="68" spans="2:25" x14ac:dyDescent="0.25">
      <c r="B68" t="s">
        <v>117</v>
      </c>
      <c r="D68" t="s">
        <v>20</v>
      </c>
      <c r="F68" t="s">
        <v>24</v>
      </c>
      <c r="G68">
        <v>250</v>
      </c>
      <c r="H68">
        <v>250</v>
      </c>
      <c r="I68" t="s">
        <v>18</v>
      </c>
      <c r="J68" s="2">
        <v>43.219382675254927</v>
      </c>
      <c r="K68" s="3">
        <v>172.87753070101971</v>
      </c>
      <c r="L68" s="2">
        <v>28.679999999999978</v>
      </c>
      <c r="M68" s="3">
        <v>114.7199999999999</v>
      </c>
      <c r="N68" s="7">
        <v>65</v>
      </c>
      <c r="O68" s="4">
        <f t="shared" si="14"/>
        <v>260</v>
      </c>
      <c r="P68" s="2">
        <f t="shared" si="15"/>
        <v>136.89938267525491</v>
      </c>
      <c r="Q68" s="3">
        <f t="shared" si="16"/>
        <v>547.59753070101965</v>
      </c>
      <c r="V68">
        <f t="shared" si="17"/>
        <v>642.07140416841071</v>
      </c>
      <c r="W68">
        <f t="shared" si="18"/>
        <v>685.01838628141309</v>
      </c>
      <c r="X68">
        <f t="shared" si="19"/>
        <v>763.59369814554714</v>
      </c>
      <c r="Y68">
        <f t="shared" si="20"/>
        <v>449.5778779028924</v>
      </c>
    </row>
    <row r="69" spans="2:25" x14ac:dyDescent="0.25">
      <c r="B69" t="s">
        <v>118</v>
      </c>
      <c r="D69" t="s">
        <v>16</v>
      </c>
      <c r="F69" t="s">
        <v>17</v>
      </c>
      <c r="G69">
        <v>280</v>
      </c>
      <c r="H69">
        <v>280</v>
      </c>
      <c r="I69" t="s">
        <v>18</v>
      </c>
      <c r="J69" s="2">
        <v>100.1293942618919</v>
      </c>
      <c r="K69" s="3">
        <v>357.60497950675682</v>
      </c>
      <c r="L69" s="2">
        <v>0</v>
      </c>
      <c r="M69" s="3">
        <v>0</v>
      </c>
      <c r="N69" s="7">
        <v>53.061</v>
      </c>
      <c r="O69" s="4">
        <f t="shared" si="14"/>
        <v>189.50357142857143</v>
      </c>
      <c r="P69" s="2">
        <f t="shared" si="15"/>
        <v>153.1903942618919</v>
      </c>
      <c r="Q69" s="3">
        <f t="shared" si="16"/>
        <v>547.10855093532814</v>
      </c>
      <c r="V69">
        <f t="shared" si="17"/>
        <v>642.07140416841071</v>
      </c>
      <c r="W69">
        <f t="shared" si="18"/>
        <v>685.01838628141309</v>
      </c>
      <c r="X69">
        <f t="shared" si="19"/>
        <v>763.59369814554714</v>
      </c>
      <c r="Y69">
        <f t="shared" si="20"/>
        <v>449.5778779028924</v>
      </c>
    </row>
    <row r="70" spans="2:25" x14ac:dyDescent="0.25">
      <c r="B70" t="s">
        <v>84</v>
      </c>
      <c r="D70" t="s">
        <v>16</v>
      </c>
      <c r="F70" t="s">
        <v>24</v>
      </c>
      <c r="G70">
        <v>80</v>
      </c>
      <c r="H70">
        <v>80</v>
      </c>
      <c r="I70" t="s">
        <v>29</v>
      </c>
      <c r="J70" s="2">
        <v>24.703959144264601</v>
      </c>
      <c r="K70" s="3">
        <v>308.79948930330761</v>
      </c>
      <c r="L70" s="2">
        <v>0</v>
      </c>
      <c r="M70" s="3">
        <v>0</v>
      </c>
      <c r="N70" s="7">
        <v>18.59</v>
      </c>
      <c r="O70" s="4">
        <f t="shared" si="14"/>
        <v>232.375</v>
      </c>
      <c r="P70" s="2">
        <f t="shared" si="15"/>
        <v>43.293959144264605</v>
      </c>
      <c r="Q70" s="3">
        <f t="shared" si="16"/>
        <v>541.17448930330761</v>
      </c>
      <c r="V70">
        <f t="shared" si="17"/>
        <v>642.07140416841071</v>
      </c>
      <c r="W70">
        <f t="shared" si="18"/>
        <v>685.01838628141309</v>
      </c>
      <c r="X70">
        <f t="shared" si="19"/>
        <v>763.59369814554714</v>
      </c>
      <c r="Y70">
        <f t="shared" si="20"/>
        <v>449.5778779028924</v>
      </c>
    </row>
    <row r="71" spans="2:25" x14ac:dyDescent="0.25">
      <c r="B71" t="s">
        <v>92</v>
      </c>
      <c r="D71" t="s">
        <v>20</v>
      </c>
      <c r="F71" t="s">
        <v>24</v>
      </c>
      <c r="G71">
        <v>165</v>
      </c>
      <c r="H71">
        <v>165</v>
      </c>
      <c r="I71" t="s">
        <v>18</v>
      </c>
      <c r="J71" s="2">
        <v>54.764750421585163</v>
      </c>
      <c r="K71" s="3">
        <v>331.90757831263733</v>
      </c>
      <c r="L71" s="2">
        <v>23.617999999999999</v>
      </c>
      <c r="M71" s="3">
        <v>143.1393939393939</v>
      </c>
      <c r="N71" s="7">
        <v>9.5114859999999997</v>
      </c>
      <c r="O71" s="4">
        <f t="shared" si="14"/>
        <v>57.645369696969695</v>
      </c>
      <c r="P71" s="2">
        <f t="shared" si="15"/>
        <v>87.894236421585163</v>
      </c>
      <c r="Q71" s="3">
        <f t="shared" si="16"/>
        <v>532.69234194900093</v>
      </c>
      <c r="V71">
        <f t="shared" si="17"/>
        <v>642.07140416841071</v>
      </c>
      <c r="W71">
        <f t="shared" si="18"/>
        <v>685.01838628141309</v>
      </c>
      <c r="X71">
        <f t="shared" si="19"/>
        <v>763.59369814554714</v>
      </c>
      <c r="Y71">
        <f t="shared" si="20"/>
        <v>449.5778779028924</v>
      </c>
    </row>
    <row r="72" spans="2:25" x14ac:dyDescent="0.25">
      <c r="B72" t="s">
        <v>115</v>
      </c>
      <c r="D72" t="s">
        <v>22</v>
      </c>
      <c r="F72" t="s">
        <v>17</v>
      </c>
      <c r="G72">
        <v>135</v>
      </c>
      <c r="H72">
        <v>135</v>
      </c>
      <c r="I72" t="s">
        <v>18</v>
      </c>
      <c r="J72" s="2">
        <v>50.678069957242869</v>
      </c>
      <c r="K72" s="3">
        <v>375.39311079439159</v>
      </c>
      <c r="L72" s="2">
        <v>0</v>
      </c>
      <c r="M72" s="3">
        <v>0</v>
      </c>
      <c r="N72" s="7">
        <f>SUM(1.773, 15.733)</f>
        <v>17.506</v>
      </c>
      <c r="O72" s="4">
        <f t="shared" si="14"/>
        <v>129.67407407407407</v>
      </c>
      <c r="P72" s="2">
        <f t="shared" si="15"/>
        <v>68.184069957242869</v>
      </c>
      <c r="Q72" s="3">
        <f t="shared" si="16"/>
        <v>505.06718486846569</v>
      </c>
      <c r="R72" t="s">
        <v>162</v>
      </c>
      <c r="V72">
        <f t="shared" si="17"/>
        <v>642.07140416841071</v>
      </c>
      <c r="W72">
        <f t="shared" si="18"/>
        <v>685.01838628141309</v>
      </c>
      <c r="X72">
        <f t="shared" si="19"/>
        <v>763.59369814554714</v>
      </c>
      <c r="Y72">
        <f t="shared" si="20"/>
        <v>449.5778779028924</v>
      </c>
    </row>
    <row r="73" spans="2:25" x14ac:dyDescent="0.25">
      <c r="B73" t="s">
        <v>35</v>
      </c>
      <c r="D73" t="s">
        <v>16</v>
      </c>
      <c r="F73" t="s">
        <v>24</v>
      </c>
      <c r="G73">
        <v>40</v>
      </c>
      <c r="H73">
        <v>40</v>
      </c>
      <c r="I73" t="s">
        <v>31</v>
      </c>
      <c r="J73" s="2">
        <v>3.6432726996641969</v>
      </c>
      <c r="K73" s="3">
        <v>91.081817491604937</v>
      </c>
      <c r="L73" s="2">
        <v>14.239000000000001</v>
      </c>
      <c r="M73" s="3">
        <v>355.97500000000002</v>
      </c>
      <c r="N73" s="7">
        <v>2.06</v>
      </c>
      <c r="O73" s="4">
        <f t="shared" si="14"/>
        <v>51.500000000000007</v>
      </c>
      <c r="P73" s="2">
        <f t="shared" si="15"/>
        <v>19.942272699664198</v>
      </c>
      <c r="Q73" s="3">
        <f t="shared" si="16"/>
        <v>498.55681749160499</v>
      </c>
      <c r="V73">
        <f t="shared" si="17"/>
        <v>642.07140416841071</v>
      </c>
      <c r="W73">
        <f t="shared" si="18"/>
        <v>685.01838628141309</v>
      </c>
      <c r="X73">
        <f t="shared" si="19"/>
        <v>763.59369814554714</v>
      </c>
      <c r="Y73">
        <f t="shared" si="20"/>
        <v>449.5778779028924</v>
      </c>
    </row>
    <row r="74" spans="2:25" x14ac:dyDescent="0.25">
      <c r="B74" t="s">
        <v>79</v>
      </c>
      <c r="D74" t="s">
        <v>16</v>
      </c>
      <c r="F74" t="s">
        <v>24</v>
      </c>
      <c r="G74">
        <v>219.79</v>
      </c>
      <c r="H74">
        <v>262.70999999999998</v>
      </c>
      <c r="I74" t="s">
        <v>80</v>
      </c>
      <c r="J74" s="2">
        <v>11.030123911590721</v>
      </c>
      <c r="K74" s="3">
        <v>50.184830572777301</v>
      </c>
      <c r="L74" s="2">
        <v>97.697000000000017</v>
      </c>
      <c r="M74" s="3">
        <v>444.50156968014932</v>
      </c>
      <c r="N74" s="7"/>
      <c r="O74" s="4">
        <f t="shared" si="14"/>
        <v>0</v>
      </c>
      <c r="P74" s="2">
        <f t="shared" si="15"/>
        <v>108.72712391159074</v>
      </c>
      <c r="Q74" s="3">
        <f t="shared" si="16"/>
        <v>494.6864002529266</v>
      </c>
      <c r="R74" t="s">
        <v>160</v>
      </c>
      <c r="V74">
        <f t="shared" si="17"/>
        <v>642.07140416841071</v>
      </c>
      <c r="W74">
        <f t="shared" si="18"/>
        <v>685.01838628141309</v>
      </c>
      <c r="X74">
        <f t="shared" si="19"/>
        <v>763.59369814554714</v>
      </c>
      <c r="Y74">
        <f t="shared" si="20"/>
        <v>449.5778779028924</v>
      </c>
    </row>
    <row r="75" spans="2:25" x14ac:dyDescent="0.25">
      <c r="B75" t="s">
        <v>127</v>
      </c>
      <c r="C75" t="s">
        <v>128</v>
      </c>
      <c r="D75" t="s">
        <v>22</v>
      </c>
      <c r="F75" t="s">
        <v>24</v>
      </c>
      <c r="G75">
        <v>200</v>
      </c>
      <c r="H75">
        <v>200</v>
      </c>
      <c r="I75" t="s">
        <v>29</v>
      </c>
      <c r="J75" s="2">
        <v>28.926321309283839</v>
      </c>
      <c r="K75" s="3">
        <v>144.63160654641919</v>
      </c>
      <c r="L75" s="2">
        <v>50.045999999999999</v>
      </c>
      <c r="M75" s="3">
        <v>250.23</v>
      </c>
      <c r="N75" s="7">
        <v>17.43</v>
      </c>
      <c r="O75" s="4">
        <f t="shared" si="14"/>
        <v>87.15</v>
      </c>
      <c r="P75" s="2">
        <f t="shared" si="15"/>
        <v>96.402321309283849</v>
      </c>
      <c r="Q75" s="3">
        <f t="shared" si="16"/>
        <v>482.01160654641922</v>
      </c>
      <c r="V75">
        <f t="shared" si="17"/>
        <v>642.07140416841071</v>
      </c>
      <c r="W75">
        <f t="shared" si="18"/>
        <v>685.01838628141309</v>
      </c>
      <c r="X75">
        <f t="shared" si="19"/>
        <v>763.59369814554714</v>
      </c>
      <c r="Y75">
        <f t="shared" si="20"/>
        <v>449.5778779028924</v>
      </c>
    </row>
    <row r="76" spans="2:25" x14ac:dyDescent="0.25">
      <c r="B76" t="s">
        <v>149</v>
      </c>
      <c r="C76" t="s">
        <v>150</v>
      </c>
      <c r="D76" t="s">
        <v>22</v>
      </c>
      <c r="F76" t="s">
        <v>24</v>
      </c>
      <c r="G76">
        <v>200</v>
      </c>
      <c r="H76">
        <v>200</v>
      </c>
      <c r="I76" t="s">
        <v>29</v>
      </c>
      <c r="J76" s="2">
        <v>67.977816888725414</v>
      </c>
      <c r="K76" s="3">
        <v>339.8890844436271</v>
      </c>
      <c r="L76" s="2">
        <v>0</v>
      </c>
      <c r="M76" s="3">
        <v>0</v>
      </c>
      <c r="N76" s="7">
        <v>26.122</v>
      </c>
      <c r="O76" s="4">
        <f t="shared" si="14"/>
        <v>130.61000000000001</v>
      </c>
      <c r="P76" s="2">
        <f t="shared" si="15"/>
        <v>94.099816888725414</v>
      </c>
      <c r="Q76" s="3">
        <f t="shared" si="16"/>
        <v>470.49908444362711</v>
      </c>
      <c r="V76">
        <f t="shared" si="17"/>
        <v>642.07140416841071</v>
      </c>
      <c r="W76">
        <f t="shared" si="18"/>
        <v>685.01838628141309</v>
      </c>
      <c r="X76">
        <f t="shared" si="19"/>
        <v>763.59369814554714</v>
      </c>
      <c r="Y76">
        <f t="shared" si="20"/>
        <v>449.5778779028924</v>
      </c>
    </row>
    <row r="77" spans="2:25" x14ac:dyDescent="0.25">
      <c r="B77" t="s">
        <v>140</v>
      </c>
      <c r="D77" t="s">
        <v>22</v>
      </c>
      <c r="F77" t="s">
        <v>24</v>
      </c>
      <c r="G77">
        <v>300</v>
      </c>
      <c r="H77">
        <v>300</v>
      </c>
      <c r="I77" t="s">
        <v>18</v>
      </c>
      <c r="J77" s="2">
        <v>100.340202362938</v>
      </c>
      <c r="K77" s="3">
        <v>334.46734120979329</v>
      </c>
      <c r="L77" s="2">
        <v>0</v>
      </c>
      <c r="M77" s="3">
        <v>0</v>
      </c>
      <c r="N77" s="7">
        <f>SUM(0.57, 37.91)</f>
        <v>38.479999999999997</v>
      </c>
      <c r="O77" s="4">
        <f t="shared" si="14"/>
        <v>128.26666666666668</v>
      </c>
      <c r="P77" s="2">
        <f t="shared" si="15"/>
        <v>138.82020236293801</v>
      </c>
      <c r="Q77" s="3">
        <f t="shared" si="16"/>
        <v>462.73400787646</v>
      </c>
      <c r="R77" t="s">
        <v>162</v>
      </c>
      <c r="V77">
        <f t="shared" si="17"/>
        <v>642.07140416841071</v>
      </c>
      <c r="W77">
        <f t="shared" si="18"/>
        <v>685.01838628141309</v>
      </c>
      <c r="X77">
        <f t="shared" si="19"/>
        <v>763.59369814554714</v>
      </c>
      <c r="Y77">
        <f t="shared" si="20"/>
        <v>449.5778779028924</v>
      </c>
    </row>
    <row r="78" spans="2:25" x14ac:dyDescent="0.25">
      <c r="B78" t="s">
        <v>27</v>
      </c>
      <c r="D78" t="s">
        <v>22</v>
      </c>
      <c r="F78" t="s">
        <v>17</v>
      </c>
      <c r="G78">
        <v>400</v>
      </c>
      <c r="H78">
        <v>400</v>
      </c>
      <c r="I78" t="s">
        <v>18</v>
      </c>
      <c r="J78" s="2">
        <v>131.99214537672759</v>
      </c>
      <c r="K78" s="3">
        <v>329.98036344181901</v>
      </c>
      <c r="L78" s="2">
        <v>0</v>
      </c>
      <c r="M78" s="3">
        <v>0</v>
      </c>
      <c r="N78" s="7">
        <v>47.11</v>
      </c>
      <c r="O78" s="4">
        <f t="shared" si="14"/>
        <v>117.77500000000001</v>
      </c>
      <c r="P78" s="2">
        <f t="shared" si="15"/>
        <v>179.10214537672761</v>
      </c>
      <c r="Q78" s="3">
        <f t="shared" si="16"/>
        <v>447.75536344181899</v>
      </c>
      <c r="V78">
        <f t="shared" si="17"/>
        <v>642.07140416841071</v>
      </c>
      <c r="W78">
        <f t="shared" si="18"/>
        <v>685.01838628141309</v>
      </c>
      <c r="X78">
        <f t="shared" si="19"/>
        <v>763.59369814554714</v>
      </c>
      <c r="Y78">
        <f t="shared" si="20"/>
        <v>449.5778779028924</v>
      </c>
    </row>
    <row r="79" spans="2:25" x14ac:dyDescent="0.25">
      <c r="B79" t="s">
        <v>126</v>
      </c>
      <c r="D79" t="s">
        <v>20</v>
      </c>
      <c r="F79" t="s">
        <v>17</v>
      </c>
      <c r="G79">
        <v>169</v>
      </c>
      <c r="H79">
        <v>169</v>
      </c>
      <c r="I79" t="s">
        <v>18</v>
      </c>
      <c r="J79" s="2">
        <v>48.960378841874778</v>
      </c>
      <c r="K79" s="3">
        <v>289.70638367973243</v>
      </c>
      <c r="L79" s="2">
        <v>0</v>
      </c>
      <c r="M79" s="3">
        <v>0</v>
      </c>
      <c r="N79" s="7">
        <v>26.652692999999999</v>
      </c>
      <c r="O79" s="4">
        <f t="shared" si="14"/>
        <v>157.7082426035503</v>
      </c>
      <c r="P79" s="2">
        <f t="shared" si="15"/>
        <v>75.613071841874785</v>
      </c>
      <c r="Q79" s="3">
        <f t="shared" si="16"/>
        <v>447.41462628328276</v>
      </c>
      <c r="V79">
        <f t="shared" si="17"/>
        <v>642.07140416841071</v>
      </c>
      <c r="W79">
        <f t="shared" si="18"/>
        <v>685.01838628141309</v>
      </c>
      <c r="X79">
        <f t="shared" si="19"/>
        <v>763.59369814554714</v>
      </c>
      <c r="Y79">
        <f t="shared" si="20"/>
        <v>449.5778779028924</v>
      </c>
    </row>
    <row r="80" spans="2:25" x14ac:dyDescent="0.25">
      <c r="B80" t="s">
        <v>116</v>
      </c>
      <c r="D80" t="s">
        <v>22</v>
      </c>
      <c r="F80" t="s">
        <v>17</v>
      </c>
      <c r="G80">
        <v>80</v>
      </c>
      <c r="H80">
        <v>80</v>
      </c>
      <c r="I80" t="s">
        <v>18</v>
      </c>
      <c r="J80" s="2">
        <v>15.330739432924259</v>
      </c>
      <c r="K80" s="3">
        <v>191.63424291155329</v>
      </c>
      <c r="L80" s="2">
        <v>0</v>
      </c>
      <c r="M80" s="3">
        <v>0</v>
      </c>
      <c r="N80" s="7">
        <v>20.329999999999998</v>
      </c>
      <c r="O80" s="4">
        <f t="shared" si="14"/>
        <v>254.125</v>
      </c>
      <c r="P80" s="2">
        <f t="shared" si="15"/>
        <v>35.66073943292426</v>
      </c>
      <c r="Q80" s="3">
        <f t="shared" si="16"/>
        <v>445.7592429115532</v>
      </c>
      <c r="V80">
        <f t="shared" si="17"/>
        <v>642.07140416841071</v>
      </c>
      <c r="W80">
        <f t="shared" si="18"/>
        <v>685.01838628141309</v>
      </c>
      <c r="X80">
        <f t="shared" si="19"/>
        <v>763.59369814554714</v>
      </c>
      <c r="Y80">
        <f t="shared" si="20"/>
        <v>449.5778779028924</v>
      </c>
    </row>
    <row r="81" spans="2:25" x14ac:dyDescent="0.25">
      <c r="B81" t="s">
        <v>125</v>
      </c>
      <c r="D81" t="s">
        <v>20</v>
      </c>
      <c r="F81" t="s">
        <v>17</v>
      </c>
      <c r="G81">
        <v>188</v>
      </c>
      <c r="H81">
        <v>188</v>
      </c>
      <c r="I81" t="s">
        <v>18</v>
      </c>
      <c r="J81" s="2">
        <v>54.35616877933419</v>
      </c>
      <c r="K81" s="3">
        <v>289.128557336884</v>
      </c>
      <c r="L81" s="2">
        <v>0</v>
      </c>
      <c r="M81" s="3">
        <v>0</v>
      </c>
      <c r="N81" s="7">
        <v>26.652692999999999</v>
      </c>
      <c r="O81" s="4">
        <f t="shared" si="14"/>
        <v>141.76964361702127</v>
      </c>
      <c r="P81" s="2">
        <f t="shared" si="15"/>
        <v>81.008861779334183</v>
      </c>
      <c r="Q81" s="3">
        <f t="shared" si="16"/>
        <v>430.89820095390525</v>
      </c>
      <c r="V81">
        <f t="shared" si="17"/>
        <v>642.07140416841071</v>
      </c>
      <c r="W81">
        <f t="shared" si="18"/>
        <v>685.01838628141309</v>
      </c>
      <c r="X81">
        <f t="shared" si="19"/>
        <v>763.59369814554714</v>
      </c>
      <c r="Y81">
        <f t="shared" si="20"/>
        <v>449.5778779028924</v>
      </c>
    </row>
    <row r="82" spans="2:25" x14ac:dyDescent="0.25">
      <c r="B82" t="s">
        <v>26</v>
      </c>
      <c r="D82" t="s">
        <v>22</v>
      </c>
      <c r="F82" t="s">
        <v>17</v>
      </c>
      <c r="G82">
        <v>500</v>
      </c>
      <c r="H82">
        <v>500</v>
      </c>
      <c r="I82" t="s">
        <v>18</v>
      </c>
      <c r="J82" s="2">
        <v>165.1211084790589</v>
      </c>
      <c r="K82" s="3">
        <v>330.24221695811792</v>
      </c>
      <c r="L82" s="2">
        <v>0</v>
      </c>
      <c r="M82" s="3">
        <v>0</v>
      </c>
      <c r="N82" s="7">
        <v>47.11</v>
      </c>
      <c r="O82" s="4">
        <f t="shared" si="14"/>
        <v>94.22</v>
      </c>
      <c r="P82" s="2">
        <f t="shared" si="15"/>
        <v>212.23110847905889</v>
      </c>
      <c r="Q82" s="3">
        <f t="shared" si="16"/>
        <v>424.46221695811778</v>
      </c>
      <c r="V82">
        <f t="shared" si="17"/>
        <v>642.07140416841071</v>
      </c>
      <c r="W82">
        <f t="shared" si="18"/>
        <v>685.01838628141309</v>
      </c>
      <c r="X82">
        <f t="shared" si="19"/>
        <v>763.59369814554714</v>
      </c>
      <c r="Y82">
        <f t="shared" si="20"/>
        <v>449.5778779028924</v>
      </c>
    </row>
    <row r="83" spans="2:25" x14ac:dyDescent="0.25">
      <c r="B83" t="s">
        <v>72</v>
      </c>
      <c r="D83" t="s">
        <v>16</v>
      </c>
      <c r="F83" t="s">
        <v>17</v>
      </c>
      <c r="G83">
        <v>200</v>
      </c>
      <c r="H83">
        <v>200</v>
      </c>
      <c r="I83" t="s">
        <v>18</v>
      </c>
      <c r="J83" s="2">
        <v>68.425489157820621</v>
      </c>
      <c r="K83" s="3">
        <v>342.12744578910309</v>
      </c>
      <c r="L83" s="2">
        <v>0</v>
      </c>
      <c r="M83" s="3">
        <v>0</v>
      </c>
      <c r="N83" s="7">
        <v>16.05</v>
      </c>
      <c r="O83" s="4">
        <f t="shared" si="14"/>
        <v>80.25</v>
      </c>
      <c r="P83" s="2">
        <f t="shared" si="15"/>
        <v>84.475489157820618</v>
      </c>
      <c r="Q83" s="3">
        <f t="shared" si="16"/>
        <v>422.37744578910309</v>
      </c>
      <c r="V83">
        <f t="shared" si="17"/>
        <v>642.07140416841071</v>
      </c>
      <c r="W83">
        <f t="shared" si="18"/>
        <v>685.01838628141309</v>
      </c>
      <c r="X83">
        <f t="shared" si="19"/>
        <v>763.59369814554714</v>
      </c>
      <c r="Y83">
        <f t="shared" si="20"/>
        <v>449.5778779028924</v>
      </c>
    </row>
    <row r="84" spans="2:25" x14ac:dyDescent="0.25">
      <c r="B84" t="s">
        <v>114</v>
      </c>
      <c r="D84" t="s">
        <v>22</v>
      </c>
      <c r="F84" t="s">
        <v>17</v>
      </c>
      <c r="G84">
        <v>140</v>
      </c>
      <c r="H84">
        <v>140</v>
      </c>
      <c r="I84" t="s">
        <v>18</v>
      </c>
      <c r="J84" s="2">
        <v>33.730837058487637</v>
      </c>
      <c r="K84" s="3">
        <v>240.93455041776889</v>
      </c>
      <c r="L84" s="2">
        <v>0</v>
      </c>
      <c r="M84" s="3">
        <v>0</v>
      </c>
      <c r="N84" s="7">
        <v>25.016999999999999</v>
      </c>
      <c r="O84" s="4">
        <f t="shared" si="14"/>
        <v>178.69285714285712</v>
      </c>
      <c r="P84" s="2">
        <f t="shared" si="15"/>
        <v>58.747837058487633</v>
      </c>
      <c r="Q84" s="3">
        <f t="shared" si="16"/>
        <v>419.62740756062595</v>
      </c>
      <c r="V84">
        <f t="shared" si="17"/>
        <v>642.07140416841071</v>
      </c>
      <c r="W84">
        <f t="shared" si="18"/>
        <v>685.01838628141309</v>
      </c>
      <c r="X84">
        <f t="shared" si="19"/>
        <v>763.59369814554714</v>
      </c>
      <c r="Y84">
        <f t="shared" si="20"/>
        <v>449.5778779028924</v>
      </c>
    </row>
    <row r="85" spans="2:25" x14ac:dyDescent="0.25">
      <c r="B85" t="s">
        <v>71</v>
      </c>
      <c r="D85" t="s">
        <v>20</v>
      </c>
      <c r="F85" t="s">
        <v>17</v>
      </c>
      <c r="G85">
        <v>110</v>
      </c>
      <c r="H85">
        <v>110</v>
      </c>
      <c r="I85" t="s">
        <v>18</v>
      </c>
      <c r="J85" s="2">
        <v>27.12552073429179</v>
      </c>
      <c r="K85" s="3">
        <v>246.5956430390163</v>
      </c>
      <c r="L85" s="2">
        <v>0</v>
      </c>
      <c r="M85" s="3">
        <v>0</v>
      </c>
      <c r="N85" s="7">
        <v>16.7</v>
      </c>
      <c r="O85" s="4">
        <f t="shared" si="14"/>
        <v>151.81818181818181</v>
      </c>
      <c r="P85" s="2">
        <f t="shared" si="15"/>
        <v>43.825520734291786</v>
      </c>
      <c r="Q85" s="3">
        <f t="shared" si="16"/>
        <v>398.41382485719805</v>
      </c>
      <c r="V85">
        <f t="shared" si="17"/>
        <v>642.07140416841071</v>
      </c>
      <c r="W85">
        <f t="shared" si="18"/>
        <v>685.01838628141309</v>
      </c>
      <c r="X85">
        <f t="shared" si="19"/>
        <v>763.59369814554714</v>
      </c>
      <c r="Y85">
        <f t="shared" si="20"/>
        <v>449.5778779028924</v>
      </c>
    </row>
    <row r="86" spans="2:25" x14ac:dyDescent="0.25">
      <c r="B86" t="s">
        <v>85</v>
      </c>
      <c r="D86" t="s">
        <v>16</v>
      </c>
      <c r="F86" t="s">
        <v>24</v>
      </c>
      <c r="G86">
        <v>150</v>
      </c>
      <c r="H86">
        <v>150</v>
      </c>
      <c r="I86" t="s">
        <v>29</v>
      </c>
      <c r="J86" s="2">
        <v>41.256442821370847</v>
      </c>
      <c r="K86" s="3">
        <v>275.04295214247242</v>
      </c>
      <c r="L86" s="2">
        <v>0</v>
      </c>
      <c r="M86" s="3">
        <v>0</v>
      </c>
      <c r="N86" s="7">
        <v>17.96</v>
      </c>
      <c r="O86" s="4">
        <f t="shared" si="14"/>
        <v>119.73333333333335</v>
      </c>
      <c r="P86" s="2">
        <f t="shared" si="15"/>
        <v>59.216442821370848</v>
      </c>
      <c r="Q86" s="3">
        <f t="shared" si="16"/>
        <v>394.77628547580565</v>
      </c>
      <c r="V86">
        <f t="shared" si="17"/>
        <v>642.07140416841071</v>
      </c>
      <c r="W86">
        <f t="shared" si="18"/>
        <v>685.01838628141309</v>
      </c>
      <c r="X86">
        <f t="shared" si="19"/>
        <v>763.59369814554714</v>
      </c>
      <c r="Y86">
        <f t="shared" si="20"/>
        <v>449.5778779028924</v>
      </c>
    </row>
    <row r="87" spans="2:25" x14ac:dyDescent="0.25">
      <c r="B87" t="s">
        <v>51</v>
      </c>
      <c r="D87" t="s">
        <v>16</v>
      </c>
      <c r="F87" t="s">
        <v>17</v>
      </c>
      <c r="G87">
        <v>150</v>
      </c>
      <c r="H87">
        <v>150</v>
      </c>
      <c r="I87" t="s">
        <v>18</v>
      </c>
      <c r="J87" s="2">
        <v>46.519012380280728</v>
      </c>
      <c r="K87" s="3">
        <v>310.12674920187158</v>
      </c>
      <c r="L87" s="2">
        <v>0</v>
      </c>
      <c r="M87" s="3">
        <v>0</v>
      </c>
      <c r="N87" s="7">
        <f>SUM(11.53, 0.35)</f>
        <v>11.879999999999999</v>
      </c>
      <c r="O87" s="4">
        <f t="shared" si="14"/>
        <v>79.199999999999989</v>
      </c>
      <c r="P87" s="2">
        <f t="shared" si="15"/>
        <v>58.399012380280723</v>
      </c>
      <c r="Q87" s="3">
        <f t="shared" si="16"/>
        <v>389.32674920187151</v>
      </c>
      <c r="R87" t="s">
        <v>162</v>
      </c>
      <c r="V87">
        <f t="shared" si="17"/>
        <v>642.07140416841071</v>
      </c>
      <c r="W87">
        <f t="shared" si="18"/>
        <v>685.01838628141309</v>
      </c>
      <c r="X87">
        <f t="shared" si="19"/>
        <v>763.59369814554714</v>
      </c>
      <c r="Y87">
        <f t="shared" si="20"/>
        <v>449.5778779028924</v>
      </c>
    </row>
    <row r="88" spans="2:25" x14ac:dyDescent="0.25">
      <c r="B88" t="s">
        <v>99</v>
      </c>
      <c r="D88" t="s">
        <v>22</v>
      </c>
      <c r="F88" t="s">
        <v>17</v>
      </c>
      <c r="G88">
        <v>140</v>
      </c>
      <c r="H88">
        <v>140</v>
      </c>
      <c r="I88" t="s">
        <v>18</v>
      </c>
      <c r="J88" s="2">
        <v>31.062857521034939</v>
      </c>
      <c r="K88" s="3">
        <v>221.87755372167811</v>
      </c>
      <c r="L88" s="2">
        <v>0</v>
      </c>
      <c r="M88" s="3">
        <v>0</v>
      </c>
      <c r="N88" s="7">
        <f>SUM(20, 0.58)</f>
        <v>20.58</v>
      </c>
      <c r="O88" s="4">
        <f t="shared" si="14"/>
        <v>147</v>
      </c>
      <c r="P88" s="2">
        <f t="shared" si="15"/>
        <v>51.642857521034941</v>
      </c>
      <c r="Q88" s="3">
        <f t="shared" si="16"/>
        <v>368.87755372167811</v>
      </c>
      <c r="R88" t="s">
        <v>162</v>
      </c>
      <c r="V88">
        <f t="shared" si="17"/>
        <v>642.07140416841071</v>
      </c>
      <c r="W88">
        <f t="shared" si="18"/>
        <v>685.01838628141309</v>
      </c>
      <c r="X88">
        <f t="shared" si="19"/>
        <v>763.59369814554714</v>
      </c>
      <c r="Y88">
        <f t="shared" si="20"/>
        <v>449.5778779028924</v>
      </c>
    </row>
    <row r="89" spans="2:25" x14ac:dyDescent="0.25">
      <c r="B89" t="s">
        <v>76</v>
      </c>
      <c r="D89" t="s">
        <v>20</v>
      </c>
      <c r="F89" t="s">
        <v>17</v>
      </c>
      <c r="G89">
        <v>100</v>
      </c>
      <c r="H89">
        <v>100</v>
      </c>
      <c r="I89" t="s">
        <v>29</v>
      </c>
      <c r="J89" s="2">
        <v>22.18475193768111</v>
      </c>
      <c r="K89" s="3">
        <v>221.84751937681111</v>
      </c>
      <c r="L89" s="2">
        <v>0</v>
      </c>
      <c r="M89" s="3">
        <v>0</v>
      </c>
      <c r="N89" s="7">
        <v>14.67</v>
      </c>
      <c r="O89" s="4">
        <f t="shared" si="14"/>
        <v>146.69999999999999</v>
      </c>
      <c r="P89" s="2">
        <f t="shared" si="15"/>
        <v>36.854751937681108</v>
      </c>
      <c r="Q89" s="3">
        <f t="shared" si="16"/>
        <v>368.54751937681107</v>
      </c>
      <c r="V89">
        <f t="shared" si="17"/>
        <v>642.07140416841071</v>
      </c>
      <c r="W89">
        <f t="shared" si="18"/>
        <v>685.01838628141309</v>
      </c>
      <c r="X89">
        <f t="shared" si="19"/>
        <v>763.59369814554714</v>
      </c>
      <c r="Y89">
        <f t="shared" si="20"/>
        <v>449.5778779028924</v>
      </c>
    </row>
    <row r="90" spans="2:25" x14ac:dyDescent="0.25">
      <c r="B90" t="s">
        <v>25</v>
      </c>
      <c r="D90" t="s">
        <v>16</v>
      </c>
      <c r="F90" t="s">
        <v>17</v>
      </c>
      <c r="G90">
        <v>250</v>
      </c>
      <c r="H90">
        <v>250</v>
      </c>
      <c r="I90" t="s">
        <v>18</v>
      </c>
      <c r="J90" s="2">
        <v>71.805823950664546</v>
      </c>
      <c r="K90" s="3">
        <v>287.22329580265819</v>
      </c>
      <c r="L90" s="2">
        <v>0</v>
      </c>
      <c r="M90" s="3">
        <v>0</v>
      </c>
      <c r="N90" s="7">
        <v>17.07</v>
      </c>
      <c r="O90" s="4">
        <f t="shared" si="14"/>
        <v>68.28</v>
      </c>
      <c r="P90" s="2">
        <f t="shared" si="15"/>
        <v>88.87582395066454</v>
      </c>
      <c r="Q90" s="3">
        <f t="shared" si="16"/>
        <v>355.50329580265816</v>
      </c>
      <c r="V90">
        <f t="shared" si="17"/>
        <v>642.07140416841071</v>
      </c>
      <c r="W90">
        <f t="shared" si="18"/>
        <v>685.01838628141309</v>
      </c>
      <c r="X90">
        <f t="shared" si="19"/>
        <v>763.59369814554714</v>
      </c>
      <c r="Y90">
        <f t="shared" si="20"/>
        <v>449.5778779028924</v>
      </c>
    </row>
    <row r="91" spans="2:25" x14ac:dyDescent="0.25">
      <c r="B91" t="s">
        <v>74</v>
      </c>
      <c r="D91" t="s">
        <v>22</v>
      </c>
      <c r="F91" t="s">
        <v>17</v>
      </c>
      <c r="G91">
        <v>170</v>
      </c>
      <c r="H91">
        <v>170</v>
      </c>
      <c r="I91" t="s">
        <v>18</v>
      </c>
      <c r="J91" s="2">
        <v>30.586006092358371</v>
      </c>
      <c r="K91" s="3">
        <v>179.9176828962257</v>
      </c>
      <c r="L91" s="2">
        <v>0</v>
      </c>
      <c r="M91" s="3">
        <v>0</v>
      </c>
      <c r="N91" s="7">
        <v>27.17</v>
      </c>
      <c r="O91" s="4">
        <f t="shared" si="14"/>
        <v>159.82352941176472</v>
      </c>
      <c r="P91" s="2">
        <f t="shared" si="15"/>
        <v>57.756006092358376</v>
      </c>
      <c r="Q91" s="3">
        <f t="shared" si="16"/>
        <v>339.74121230799045</v>
      </c>
      <c r="V91">
        <f t="shared" si="17"/>
        <v>642.07140416841071</v>
      </c>
      <c r="W91">
        <f t="shared" si="18"/>
        <v>685.01838628141309</v>
      </c>
      <c r="X91">
        <f t="shared" si="19"/>
        <v>763.59369814554714</v>
      </c>
      <c r="Y91">
        <f t="shared" si="20"/>
        <v>449.5778779028924</v>
      </c>
    </row>
    <row r="92" spans="2:25" x14ac:dyDescent="0.25">
      <c r="B92" t="s">
        <v>112</v>
      </c>
      <c r="D92" t="s">
        <v>20</v>
      </c>
      <c r="F92" t="s">
        <v>24</v>
      </c>
      <c r="G92">
        <v>450</v>
      </c>
      <c r="H92">
        <v>450</v>
      </c>
      <c r="I92" t="s">
        <v>18</v>
      </c>
      <c r="J92" s="2">
        <v>132.42004840349799</v>
      </c>
      <c r="K92" s="3">
        <v>294.26677422999558</v>
      </c>
      <c r="L92" s="2">
        <v>0</v>
      </c>
      <c r="M92" s="3">
        <v>0</v>
      </c>
      <c r="N92" s="7">
        <v>17.78</v>
      </c>
      <c r="O92" s="4">
        <f t="shared" si="14"/>
        <v>39.511111111111113</v>
      </c>
      <c r="P92" s="2">
        <f t="shared" si="15"/>
        <v>150.20004840349799</v>
      </c>
      <c r="Q92" s="3">
        <f t="shared" si="16"/>
        <v>333.77788534110664</v>
      </c>
      <c r="V92">
        <f t="shared" si="17"/>
        <v>642.07140416841071</v>
      </c>
      <c r="W92">
        <f t="shared" si="18"/>
        <v>685.01838628141309</v>
      </c>
      <c r="X92">
        <f t="shared" si="19"/>
        <v>763.59369814554714</v>
      </c>
      <c r="Y92">
        <f t="shared" si="20"/>
        <v>449.5778779028924</v>
      </c>
    </row>
    <row r="93" spans="2:25" x14ac:dyDescent="0.25">
      <c r="B93" t="s">
        <v>121</v>
      </c>
      <c r="D93" t="s">
        <v>22</v>
      </c>
      <c r="F93" t="s">
        <v>24</v>
      </c>
      <c r="G93">
        <v>100</v>
      </c>
      <c r="H93">
        <v>100</v>
      </c>
      <c r="I93" t="s">
        <v>18</v>
      </c>
      <c r="J93" s="2">
        <v>4.8274615323923582</v>
      </c>
      <c r="K93" s="3">
        <v>48.274615323923577</v>
      </c>
      <c r="L93" s="2">
        <v>0</v>
      </c>
      <c r="M93" s="3">
        <v>0</v>
      </c>
      <c r="N93" s="7">
        <v>28.41</v>
      </c>
      <c r="O93" s="4">
        <f t="shared" si="14"/>
        <v>284.10000000000002</v>
      </c>
      <c r="P93" s="2">
        <f t="shared" si="15"/>
        <v>33.237461532392359</v>
      </c>
      <c r="Q93" s="3">
        <f t="shared" si="16"/>
        <v>332.37461532392359</v>
      </c>
      <c r="V93">
        <f t="shared" si="17"/>
        <v>642.07140416841071</v>
      </c>
      <c r="W93">
        <f t="shared" si="18"/>
        <v>685.01838628141309</v>
      </c>
      <c r="X93">
        <f t="shared" si="19"/>
        <v>763.59369814554714</v>
      </c>
      <c r="Y93">
        <f t="shared" si="20"/>
        <v>449.5778779028924</v>
      </c>
    </row>
    <row r="94" spans="2:25" x14ac:dyDescent="0.25">
      <c r="B94" t="s">
        <v>148</v>
      </c>
      <c r="D94" t="s">
        <v>16</v>
      </c>
      <c r="F94" t="s">
        <v>17</v>
      </c>
      <c r="G94">
        <v>350</v>
      </c>
      <c r="H94">
        <v>350</v>
      </c>
      <c r="I94" t="s">
        <v>18</v>
      </c>
      <c r="J94" s="2">
        <v>48.080212189626693</v>
      </c>
      <c r="K94" s="3">
        <v>137.37203482750479</v>
      </c>
      <c r="L94" s="2">
        <v>0</v>
      </c>
      <c r="M94" s="3">
        <v>0</v>
      </c>
      <c r="N94" s="7">
        <v>68.007999999999996</v>
      </c>
      <c r="O94" s="4">
        <f t="shared" si="14"/>
        <v>194.30857142857141</v>
      </c>
      <c r="P94" s="2">
        <f t="shared" si="15"/>
        <v>116.08821218962669</v>
      </c>
      <c r="Q94" s="3">
        <f t="shared" si="16"/>
        <v>331.68060625607626</v>
      </c>
      <c r="V94">
        <f t="shared" si="17"/>
        <v>642.07140416841071</v>
      </c>
      <c r="W94">
        <f t="shared" si="18"/>
        <v>685.01838628141309</v>
      </c>
      <c r="X94">
        <f t="shared" si="19"/>
        <v>763.59369814554714</v>
      </c>
      <c r="Y94">
        <f t="shared" si="20"/>
        <v>449.5778779028924</v>
      </c>
    </row>
    <row r="95" spans="2:25" x14ac:dyDescent="0.25">
      <c r="B95" t="s">
        <v>107</v>
      </c>
      <c r="D95" t="s">
        <v>22</v>
      </c>
      <c r="F95" t="s">
        <v>24</v>
      </c>
      <c r="G95">
        <v>100</v>
      </c>
      <c r="H95">
        <v>100</v>
      </c>
      <c r="I95" t="s">
        <v>18</v>
      </c>
      <c r="J95" s="2">
        <v>0</v>
      </c>
      <c r="K95" s="3">
        <v>0</v>
      </c>
      <c r="L95" s="2">
        <v>16.509</v>
      </c>
      <c r="M95" s="3">
        <v>165.09</v>
      </c>
      <c r="N95" s="7">
        <v>16.559999999999999</v>
      </c>
      <c r="O95" s="4">
        <f t="shared" si="14"/>
        <v>165.6</v>
      </c>
      <c r="P95" s="2">
        <f t="shared" si="15"/>
        <v>33.069000000000003</v>
      </c>
      <c r="Q95" s="3">
        <f t="shared" si="16"/>
        <v>330.69000000000005</v>
      </c>
      <c r="V95">
        <f t="shared" si="17"/>
        <v>642.07140416841071</v>
      </c>
      <c r="W95">
        <f t="shared" si="18"/>
        <v>685.01838628141309</v>
      </c>
      <c r="X95">
        <f t="shared" si="19"/>
        <v>763.59369814554714</v>
      </c>
      <c r="Y95">
        <f t="shared" si="20"/>
        <v>449.5778779028924</v>
      </c>
    </row>
    <row r="96" spans="2:25" x14ac:dyDescent="0.25">
      <c r="B96" t="s">
        <v>52</v>
      </c>
      <c r="D96" t="s">
        <v>16</v>
      </c>
      <c r="F96" t="s">
        <v>24</v>
      </c>
      <c r="G96">
        <v>160</v>
      </c>
      <c r="H96">
        <v>160</v>
      </c>
      <c r="I96" t="s">
        <v>18</v>
      </c>
      <c r="J96" s="2">
        <v>32.131614262560781</v>
      </c>
      <c r="K96" s="3">
        <v>200.8225891410049</v>
      </c>
      <c r="L96" s="2">
        <v>0</v>
      </c>
      <c r="M96" s="3">
        <v>0</v>
      </c>
      <c r="N96" s="7">
        <v>20.530042999999999</v>
      </c>
      <c r="O96" s="4">
        <f t="shared" si="14"/>
        <v>128.31276875</v>
      </c>
      <c r="P96" s="2">
        <f t="shared" si="15"/>
        <v>52.66165726256078</v>
      </c>
      <c r="Q96" s="3">
        <f t="shared" si="16"/>
        <v>329.1353578910049</v>
      </c>
      <c r="V96">
        <f t="shared" si="17"/>
        <v>642.07140416841071</v>
      </c>
      <c r="W96">
        <f t="shared" si="18"/>
        <v>685.01838628141309</v>
      </c>
      <c r="X96">
        <f t="shared" si="19"/>
        <v>763.59369814554714</v>
      </c>
      <c r="Y96">
        <f t="shared" si="20"/>
        <v>449.5778779028924</v>
      </c>
    </row>
    <row r="97" spans="2:25" x14ac:dyDescent="0.25">
      <c r="B97" t="s">
        <v>38</v>
      </c>
      <c r="D97" t="s">
        <v>22</v>
      </c>
      <c r="F97" t="s">
        <v>17</v>
      </c>
      <c r="G97">
        <v>300</v>
      </c>
      <c r="H97">
        <v>300</v>
      </c>
      <c r="I97" t="s">
        <v>18</v>
      </c>
      <c r="J97" s="2">
        <v>48.519668577846467</v>
      </c>
      <c r="K97" s="3">
        <v>161.73222859282151</v>
      </c>
      <c r="L97" s="2">
        <v>0</v>
      </c>
      <c r="M97" s="3">
        <v>0</v>
      </c>
      <c r="N97" s="7">
        <v>46.32</v>
      </c>
      <c r="O97" s="4">
        <f t="shared" si="14"/>
        <v>154.4</v>
      </c>
      <c r="P97" s="2">
        <f t="shared" si="15"/>
        <v>94.839668577846467</v>
      </c>
      <c r="Q97" s="3">
        <f t="shared" si="16"/>
        <v>316.1322285928216</v>
      </c>
      <c r="V97">
        <f t="shared" si="17"/>
        <v>642.07140416841071</v>
      </c>
      <c r="W97">
        <f t="shared" si="18"/>
        <v>685.01838628141309</v>
      </c>
      <c r="X97">
        <f t="shared" si="19"/>
        <v>763.59369814554714</v>
      </c>
      <c r="Y97">
        <f t="shared" si="20"/>
        <v>449.5778779028924</v>
      </c>
    </row>
    <row r="98" spans="2:25" x14ac:dyDescent="0.25">
      <c r="B98" t="s">
        <v>23</v>
      </c>
      <c r="D98" t="s">
        <v>22</v>
      </c>
      <c r="F98" t="s">
        <v>24</v>
      </c>
      <c r="G98">
        <v>200</v>
      </c>
      <c r="H98">
        <v>200</v>
      </c>
      <c r="I98" t="s">
        <v>18</v>
      </c>
      <c r="J98" s="2">
        <v>0</v>
      </c>
      <c r="K98" s="3">
        <v>0</v>
      </c>
      <c r="L98" s="2">
        <v>38.131</v>
      </c>
      <c r="M98" s="3">
        <v>190.655</v>
      </c>
      <c r="N98" s="7">
        <v>22.78</v>
      </c>
      <c r="O98" s="4">
        <f t="shared" ref="O98:O122" si="21">(N98/G98)*1000</f>
        <v>113.9</v>
      </c>
      <c r="P98" s="2">
        <f t="shared" ref="P98:P122" si="22">SUM(J98,L98,N98)</f>
        <v>60.911000000000001</v>
      </c>
      <c r="Q98" s="3">
        <f t="shared" ref="Q98:Q122" si="23">(P98/G98)*1000</f>
        <v>304.55500000000001</v>
      </c>
      <c r="V98">
        <f t="shared" ref="V98:V122" si="24">AVERAGEIF($D$2:$D$122, "AR", $Q$2:$Q$122)</f>
        <v>642.07140416841071</v>
      </c>
      <c r="W98">
        <f t="shared" ref="W98:W122" si="25">AVERAGEIF($D$2:$D$122, "LA", $Q$2:$Q$122)</f>
        <v>685.01838628141309</v>
      </c>
      <c r="X98">
        <f t="shared" ref="X98:X122" si="26">AVERAGEIF($D$2:$D$122, "MS", $Q$2:$Q$122)</f>
        <v>763.59369814554714</v>
      </c>
      <c r="Y98">
        <f t="shared" ref="Y98:Y122" si="27">AVERAGEIF($D$2:$D$122, "TX", $Q$2:$Q$122)</f>
        <v>449.5778779028924</v>
      </c>
    </row>
    <row r="99" spans="2:25" x14ac:dyDescent="0.25">
      <c r="B99" t="s">
        <v>15</v>
      </c>
      <c r="D99" t="s">
        <v>16</v>
      </c>
      <c r="F99" t="s">
        <v>17</v>
      </c>
      <c r="G99">
        <v>200</v>
      </c>
      <c r="H99">
        <v>200</v>
      </c>
      <c r="I99" t="s">
        <v>18</v>
      </c>
      <c r="J99" s="2">
        <v>28.340704119018149</v>
      </c>
      <c r="K99" s="3">
        <v>141.70352059509079</v>
      </c>
      <c r="L99" s="2">
        <v>0</v>
      </c>
      <c r="M99" s="3">
        <v>0</v>
      </c>
      <c r="N99" s="7">
        <v>32.209000000000003</v>
      </c>
      <c r="O99" s="4">
        <f t="shared" si="21"/>
        <v>161.04500000000002</v>
      </c>
      <c r="P99" s="2">
        <f t="shared" si="22"/>
        <v>60.549704119018152</v>
      </c>
      <c r="Q99" s="3">
        <f t="shared" si="23"/>
        <v>302.74852059509078</v>
      </c>
      <c r="V99">
        <f t="shared" si="24"/>
        <v>642.07140416841071</v>
      </c>
      <c r="W99">
        <f t="shared" si="25"/>
        <v>685.01838628141309</v>
      </c>
      <c r="X99">
        <f t="shared" si="26"/>
        <v>763.59369814554714</v>
      </c>
      <c r="Y99">
        <f t="shared" si="27"/>
        <v>449.5778779028924</v>
      </c>
    </row>
    <row r="100" spans="2:25" x14ac:dyDescent="0.25">
      <c r="B100" t="s">
        <v>21</v>
      </c>
      <c r="D100" t="s">
        <v>22</v>
      </c>
      <c r="F100" t="s">
        <v>17</v>
      </c>
      <c r="G100">
        <v>115.5</v>
      </c>
      <c r="H100">
        <v>115.5</v>
      </c>
      <c r="I100" t="s">
        <v>18</v>
      </c>
      <c r="J100" s="2">
        <v>15.21424988828802</v>
      </c>
      <c r="K100" s="3">
        <v>131.72510725790491</v>
      </c>
      <c r="L100" s="2">
        <v>0</v>
      </c>
      <c r="M100" s="3">
        <v>0</v>
      </c>
      <c r="N100" s="7">
        <v>18.95</v>
      </c>
      <c r="O100" s="4">
        <f t="shared" si="21"/>
        <v>164.06926406926405</v>
      </c>
      <c r="P100" s="2">
        <f t="shared" si="22"/>
        <v>34.164249888288019</v>
      </c>
      <c r="Q100" s="3">
        <f t="shared" si="23"/>
        <v>295.79437132716902</v>
      </c>
      <c r="S100" t="s">
        <v>158</v>
      </c>
      <c r="V100">
        <f t="shared" si="24"/>
        <v>642.07140416841071</v>
      </c>
      <c r="W100">
        <f t="shared" si="25"/>
        <v>685.01838628141309</v>
      </c>
      <c r="X100">
        <f t="shared" si="26"/>
        <v>763.59369814554714</v>
      </c>
      <c r="Y100">
        <f t="shared" si="27"/>
        <v>449.5778779028924</v>
      </c>
    </row>
    <row r="101" spans="2:25" x14ac:dyDescent="0.25">
      <c r="B101" t="s">
        <v>19</v>
      </c>
      <c r="D101" t="s">
        <v>20</v>
      </c>
      <c r="F101" t="s">
        <v>17</v>
      </c>
      <c r="G101">
        <v>200</v>
      </c>
      <c r="H101">
        <v>200</v>
      </c>
      <c r="I101" t="s">
        <v>18</v>
      </c>
      <c r="J101" s="2">
        <v>36.436642976028473</v>
      </c>
      <c r="K101" s="3">
        <v>182.18321488014229</v>
      </c>
      <c r="L101" s="2">
        <v>0</v>
      </c>
      <c r="M101" s="3">
        <v>0</v>
      </c>
      <c r="N101" s="7">
        <v>18.510000000000002</v>
      </c>
      <c r="O101" s="4">
        <f t="shared" si="21"/>
        <v>92.550000000000011</v>
      </c>
      <c r="P101" s="2">
        <f t="shared" si="22"/>
        <v>54.946642976028471</v>
      </c>
      <c r="Q101" s="3">
        <f t="shared" si="23"/>
        <v>274.73321488014233</v>
      </c>
      <c r="V101">
        <f t="shared" si="24"/>
        <v>642.07140416841071</v>
      </c>
      <c r="W101">
        <f t="shared" si="25"/>
        <v>685.01838628141309</v>
      </c>
      <c r="X101">
        <f t="shared" si="26"/>
        <v>763.59369814554714</v>
      </c>
      <c r="Y101">
        <f t="shared" si="27"/>
        <v>449.5778779028924</v>
      </c>
    </row>
    <row r="102" spans="2:25" x14ac:dyDescent="0.25">
      <c r="B102" t="s">
        <v>138</v>
      </c>
      <c r="D102" t="s">
        <v>22</v>
      </c>
      <c r="F102" t="s">
        <v>24</v>
      </c>
      <c r="G102">
        <v>200</v>
      </c>
      <c r="H102">
        <v>200</v>
      </c>
      <c r="I102" t="s">
        <v>29</v>
      </c>
      <c r="J102" s="2">
        <v>48.220911358056028</v>
      </c>
      <c r="K102" s="3">
        <v>241.10455679028021</v>
      </c>
      <c r="L102" s="2">
        <v>0</v>
      </c>
      <c r="M102" s="3">
        <v>0</v>
      </c>
      <c r="N102" s="7">
        <v>6.39</v>
      </c>
      <c r="O102" s="4">
        <f t="shared" si="21"/>
        <v>31.95</v>
      </c>
      <c r="P102" s="2">
        <f t="shared" si="22"/>
        <v>54.610911358056029</v>
      </c>
      <c r="Q102" s="3">
        <f t="shared" si="23"/>
        <v>273.05455679028012</v>
      </c>
      <c r="V102">
        <f t="shared" si="24"/>
        <v>642.07140416841071</v>
      </c>
      <c r="W102">
        <f t="shared" si="25"/>
        <v>685.01838628141309</v>
      </c>
      <c r="X102">
        <f t="shared" si="26"/>
        <v>763.59369814554714</v>
      </c>
      <c r="Y102">
        <f t="shared" si="27"/>
        <v>449.5778779028924</v>
      </c>
    </row>
    <row r="103" spans="2:25" x14ac:dyDescent="0.25">
      <c r="B103" t="s">
        <v>69</v>
      </c>
      <c r="D103" t="s">
        <v>22</v>
      </c>
      <c r="F103" t="s">
        <v>17</v>
      </c>
      <c r="G103">
        <v>197.5</v>
      </c>
      <c r="H103">
        <v>197.5</v>
      </c>
      <c r="I103" t="s">
        <v>18</v>
      </c>
      <c r="J103" s="2">
        <v>16.39016945680774</v>
      </c>
      <c r="K103" s="3">
        <v>82.988199781305013</v>
      </c>
      <c r="L103" s="2">
        <v>0</v>
      </c>
      <c r="M103" s="3">
        <v>0</v>
      </c>
      <c r="N103" s="7">
        <v>36.630000000000003</v>
      </c>
      <c r="O103" s="4">
        <f t="shared" si="21"/>
        <v>185.46835443037975</v>
      </c>
      <c r="P103" s="2">
        <f t="shared" si="22"/>
        <v>53.020169456807743</v>
      </c>
      <c r="Q103" s="3">
        <f t="shared" si="23"/>
        <v>268.45655421168482</v>
      </c>
      <c r="V103">
        <f t="shared" si="24"/>
        <v>642.07140416841071</v>
      </c>
      <c r="W103">
        <f t="shared" si="25"/>
        <v>685.01838628141309</v>
      </c>
      <c r="X103">
        <f t="shared" si="26"/>
        <v>763.59369814554714</v>
      </c>
      <c r="Y103">
        <f t="shared" si="27"/>
        <v>449.5778779028924</v>
      </c>
    </row>
    <row r="104" spans="2:25" x14ac:dyDescent="0.25">
      <c r="B104" t="s">
        <v>56</v>
      </c>
      <c r="D104" t="s">
        <v>22</v>
      </c>
      <c r="F104" t="s">
        <v>24</v>
      </c>
      <c r="G104">
        <v>500</v>
      </c>
      <c r="H104">
        <v>500</v>
      </c>
      <c r="I104" t="s">
        <v>18</v>
      </c>
      <c r="J104" s="2">
        <v>0.63210618534431029</v>
      </c>
      <c r="K104" s="3">
        <v>1.264212370688621</v>
      </c>
      <c r="L104" s="2">
        <v>130.239</v>
      </c>
      <c r="M104" s="3">
        <v>260.47800000000001</v>
      </c>
      <c r="N104" s="7">
        <v>0.59</v>
      </c>
      <c r="O104" s="4">
        <f t="shared" si="21"/>
        <v>1.18</v>
      </c>
      <c r="P104" s="2">
        <f t="shared" si="22"/>
        <v>131.46110618534431</v>
      </c>
      <c r="Q104" s="3">
        <f t="shared" si="23"/>
        <v>262.92221237068861</v>
      </c>
      <c r="V104">
        <f t="shared" si="24"/>
        <v>642.07140416841071</v>
      </c>
      <c r="W104">
        <f t="shared" si="25"/>
        <v>685.01838628141309</v>
      </c>
      <c r="X104">
        <f t="shared" si="26"/>
        <v>763.59369814554714</v>
      </c>
      <c r="Y104">
        <f t="shared" si="27"/>
        <v>449.5778779028924</v>
      </c>
    </row>
    <row r="105" spans="2:25" x14ac:dyDescent="0.25">
      <c r="B105" t="s">
        <v>68</v>
      </c>
      <c r="D105" t="s">
        <v>22</v>
      </c>
      <c r="F105" t="s">
        <v>24</v>
      </c>
      <c r="G105">
        <v>100</v>
      </c>
      <c r="H105">
        <v>100</v>
      </c>
      <c r="I105" t="s">
        <v>18</v>
      </c>
      <c r="J105" s="2">
        <v>25.45384757831652</v>
      </c>
      <c r="K105" s="3">
        <v>254.53847578316521</v>
      </c>
      <c r="L105" s="2">
        <v>0</v>
      </c>
      <c r="M105" s="3">
        <v>0</v>
      </c>
      <c r="N105" s="7">
        <v>0.51</v>
      </c>
      <c r="O105" s="4">
        <f t="shared" si="21"/>
        <v>5.1000000000000005</v>
      </c>
      <c r="P105" s="2">
        <f t="shared" si="22"/>
        <v>25.963847578316521</v>
      </c>
      <c r="Q105" s="3">
        <f t="shared" si="23"/>
        <v>259.63847578316523</v>
      </c>
      <c r="V105">
        <f t="shared" si="24"/>
        <v>642.07140416841071</v>
      </c>
      <c r="W105">
        <f t="shared" si="25"/>
        <v>685.01838628141309</v>
      </c>
      <c r="X105">
        <f t="shared" si="26"/>
        <v>763.59369814554714</v>
      </c>
      <c r="Y105">
        <f t="shared" si="27"/>
        <v>449.5778779028924</v>
      </c>
    </row>
    <row r="106" spans="2:25" x14ac:dyDescent="0.25">
      <c r="B106" t="s">
        <v>36</v>
      </c>
      <c r="D106" t="s">
        <v>22</v>
      </c>
      <c r="F106" t="s">
        <v>17</v>
      </c>
      <c r="G106">
        <v>600</v>
      </c>
      <c r="H106">
        <v>600</v>
      </c>
      <c r="I106" t="s">
        <v>18</v>
      </c>
      <c r="J106" s="2">
        <v>98.942852827240714</v>
      </c>
      <c r="K106" s="3">
        <v>164.9047547120679</v>
      </c>
      <c r="L106" s="2">
        <v>0</v>
      </c>
      <c r="M106" s="3">
        <v>0</v>
      </c>
      <c r="N106" s="7">
        <v>46.32</v>
      </c>
      <c r="O106" s="4">
        <f t="shared" si="21"/>
        <v>77.2</v>
      </c>
      <c r="P106" s="2">
        <f t="shared" si="22"/>
        <v>145.26285282724072</v>
      </c>
      <c r="Q106" s="3">
        <f t="shared" si="23"/>
        <v>242.10475471206786</v>
      </c>
      <c r="V106">
        <f t="shared" si="24"/>
        <v>642.07140416841071</v>
      </c>
      <c r="W106">
        <f t="shared" si="25"/>
        <v>685.01838628141309</v>
      </c>
      <c r="X106">
        <f t="shared" si="26"/>
        <v>763.59369814554714</v>
      </c>
      <c r="Y106">
        <f t="shared" si="27"/>
        <v>449.5778779028924</v>
      </c>
    </row>
    <row r="107" spans="2:25" x14ac:dyDescent="0.25">
      <c r="B107" t="s">
        <v>67</v>
      </c>
      <c r="D107" t="s">
        <v>20</v>
      </c>
      <c r="F107" t="s">
        <v>17</v>
      </c>
      <c r="G107">
        <v>150</v>
      </c>
      <c r="H107">
        <v>150</v>
      </c>
      <c r="I107" t="s">
        <v>18</v>
      </c>
      <c r="J107" s="2">
        <v>18.11350176074621</v>
      </c>
      <c r="K107" s="3">
        <v>120.75667840497471</v>
      </c>
      <c r="L107" s="2">
        <v>0</v>
      </c>
      <c r="M107" s="3">
        <v>0</v>
      </c>
      <c r="N107" s="7">
        <v>14.66</v>
      </c>
      <c r="O107" s="4">
        <f t="shared" si="21"/>
        <v>97.733333333333334</v>
      </c>
      <c r="P107" s="2">
        <f t="shared" si="22"/>
        <v>32.773501760746214</v>
      </c>
      <c r="Q107" s="3">
        <f t="shared" si="23"/>
        <v>218.49001173830808</v>
      </c>
      <c r="V107">
        <f t="shared" si="24"/>
        <v>642.07140416841071</v>
      </c>
      <c r="W107">
        <f t="shared" si="25"/>
        <v>685.01838628141309</v>
      </c>
      <c r="X107">
        <f t="shared" si="26"/>
        <v>763.59369814554714</v>
      </c>
      <c r="Y107">
        <f t="shared" si="27"/>
        <v>449.5778779028924</v>
      </c>
    </row>
    <row r="108" spans="2:25" x14ac:dyDescent="0.25">
      <c r="B108" t="s">
        <v>40</v>
      </c>
      <c r="D108" t="s">
        <v>22</v>
      </c>
      <c r="F108" t="s">
        <v>17</v>
      </c>
      <c r="G108">
        <v>250</v>
      </c>
      <c r="H108">
        <v>250</v>
      </c>
      <c r="I108" t="s">
        <v>18</v>
      </c>
      <c r="J108" s="2">
        <v>31.637012048278269</v>
      </c>
      <c r="K108" s="3">
        <v>126.5480481931131</v>
      </c>
      <c r="L108" s="2">
        <v>0</v>
      </c>
      <c r="M108" s="3">
        <v>0</v>
      </c>
      <c r="N108" s="7">
        <v>18.61</v>
      </c>
      <c r="O108" s="4">
        <f t="shared" si="21"/>
        <v>74.44</v>
      </c>
      <c r="P108" s="2">
        <f t="shared" si="22"/>
        <v>50.247012048278265</v>
      </c>
      <c r="Q108" s="3">
        <f t="shared" si="23"/>
        <v>200.98804819311306</v>
      </c>
      <c r="V108">
        <f t="shared" si="24"/>
        <v>642.07140416841071</v>
      </c>
      <c r="W108">
        <f t="shared" si="25"/>
        <v>685.01838628141309</v>
      </c>
      <c r="X108">
        <f t="shared" si="26"/>
        <v>763.59369814554714</v>
      </c>
      <c r="Y108">
        <f t="shared" si="27"/>
        <v>449.5778779028924</v>
      </c>
    </row>
    <row r="109" spans="2:25" x14ac:dyDescent="0.25">
      <c r="B109" t="s">
        <v>61</v>
      </c>
      <c r="D109" t="s">
        <v>16</v>
      </c>
      <c r="F109" t="s">
        <v>24</v>
      </c>
      <c r="G109">
        <v>120</v>
      </c>
      <c r="H109">
        <v>120</v>
      </c>
      <c r="I109" t="s">
        <v>18</v>
      </c>
      <c r="J109" s="2">
        <v>5.6551074232565242</v>
      </c>
      <c r="K109" s="3">
        <v>47.125895193804368</v>
      </c>
      <c r="L109" s="2">
        <v>0</v>
      </c>
      <c r="M109" s="3">
        <v>0</v>
      </c>
      <c r="N109" s="7">
        <v>17.265000000000001</v>
      </c>
      <c r="O109" s="4">
        <f t="shared" si="21"/>
        <v>143.875</v>
      </c>
      <c r="P109" s="2">
        <f t="shared" si="22"/>
        <v>22.920107423256525</v>
      </c>
      <c r="Q109" s="3">
        <f t="shared" si="23"/>
        <v>191.00089519380435</v>
      </c>
      <c r="V109">
        <f t="shared" si="24"/>
        <v>642.07140416841071</v>
      </c>
      <c r="W109">
        <f t="shared" si="25"/>
        <v>685.01838628141309</v>
      </c>
      <c r="X109">
        <f t="shared" si="26"/>
        <v>763.59369814554714</v>
      </c>
      <c r="Y109">
        <f t="shared" si="27"/>
        <v>449.5778779028924</v>
      </c>
    </row>
    <row r="110" spans="2:25" x14ac:dyDescent="0.25">
      <c r="B110" t="s">
        <v>124</v>
      </c>
      <c r="D110" t="s">
        <v>47</v>
      </c>
      <c r="F110" t="s">
        <v>24</v>
      </c>
      <c r="G110">
        <v>300</v>
      </c>
      <c r="H110">
        <v>300</v>
      </c>
      <c r="I110" t="s">
        <v>18</v>
      </c>
      <c r="J110" s="2">
        <v>33.958966492969878</v>
      </c>
      <c r="K110" s="3">
        <v>113.1965549765663</v>
      </c>
      <c r="L110" s="2">
        <v>0</v>
      </c>
      <c r="M110" s="3">
        <v>0</v>
      </c>
      <c r="N110" s="7">
        <v>21.745999999999999</v>
      </c>
      <c r="O110" s="4">
        <f t="shared" si="21"/>
        <v>72.486666666666665</v>
      </c>
      <c r="P110" s="2">
        <f t="shared" si="22"/>
        <v>55.704966492969874</v>
      </c>
      <c r="Q110" s="3">
        <f t="shared" si="23"/>
        <v>185.68322164323291</v>
      </c>
      <c r="V110">
        <f t="shared" si="24"/>
        <v>642.07140416841071</v>
      </c>
      <c r="W110">
        <f t="shared" si="25"/>
        <v>685.01838628141309</v>
      </c>
      <c r="X110">
        <f t="shared" si="26"/>
        <v>763.59369814554714</v>
      </c>
      <c r="Y110">
        <f t="shared" si="27"/>
        <v>449.5778779028924</v>
      </c>
    </row>
    <row r="111" spans="2:25" x14ac:dyDescent="0.25">
      <c r="B111" t="s">
        <v>73</v>
      </c>
      <c r="D111" t="s">
        <v>47</v>
      </c>
      <c r="F111" t="s">
        <v>24</v>
      </c>
      <c r="G111">
        <v>170</v>
      </c>
      <c r="H111">
        <v>170</v>
      </c>
      <c r="I111" t="s">
        <v>18</v>
      </c>
      <c r="J111" s="2">
        <v>7.499736634845668</v>
      </c>
      <c r="K111" s="3">
        <v>44.116097852033342</v>
      </c>
      <c r="L111" s="2">
        <v>0</v>
      </c>
      <c r="M111" s="3">
        <v>0</v>
      </c>
      <c r="N111" s="7">
        <v>20.206</v>
      </c>
      <c r="O111" s="4">
        <f t="shared" si="21"/>
        <v>118.85882352941177</v>
      </c>
      <c r="P111" s="2">
        <f t="shared" si="22"/>
        <v>27.705736634845668</v>
      </c>
      <c r="Q111" s="3">
        <f t="shared" si="23"/>
        <v>162.97492138144509</v>
      </c>
      <c r="V111">
        <f t="shared" si="24"/>
        <v>642.07140416841071</v>
      </c>
      <c r="W111">
        <f t="shared" si="25"/>
        <v>685.01838628141309</v>
      </c>
      <c r="X111">
        <f t="shared" si="26"/>
        <v>763.59369814554714</v>
      </c>
      <c r="Y111">
        <f t="shared" si="27"/>
        <v>449.5778779028924</v>
      </c>
    </row>
    <row r="112" spans="2:25" x14ac:dyDescent="0.25">
      <c r="B112" t="s">
        <v>123</v>
      </c>
      <c r="D112" t="s">
        <v>16</v>
      </c>
      <c r="F112" t="s">
        <v>17</v>
      </c>
      <c r="G112">
        <v>150</v>
      </c>
      <c r="H112">
        <v>150</v>
      </c>
      <c r="I112" t="s">
        <v>18</v>
      </c>
      <c r="J112" s="2">
        <v>0</v>
      </c>
      <c r="K112" s="3">
        <v>0</v>
      </c>
      <c r="L112" s="2">
        <v>0</v>
      </c>
      <c r="M112" s="3">
        <v>0</v>
      </c>
      <c r="N112" s="7">
        <v>23.431000000000001</v>
      </c>
      <c r="O112" s="4">
        <f t="shared" si="21"/>
        <v>156.20666666666665</v>
      </c>
      <c r="P112" s="2">
        <f t="shared" si="22"/>
        <v>23.431000000000001</v>
      </c>
      <c r="Q112" s="3">
        <f t="shared" si="23"/>
        <v>156.20666666666665</v>
      </c>
      <c r="V112">
        <f t="shared" si="24"/>
        <v>642.07140416841071</v>
      </c>
      <c r="W112">
        <f t="shared" si="25"/>
        <v>685.01838628141309</v>
      </c>
      <c r="X112">
        <f t="shared" si="26"/>
        <v>763.59369814554714</v>
      </c>
      <c r="Y112">
        <f t="shared" si="27"/>
        <v>449.5778779028924</v>
      </c>
    </row>
    <row r="113" spans="2:25" x14ac:dyDescent="0.25">
      <c r="B113" t="s">
        <v>120</v>
      </c>
      <c r="D113" t="s">
        <v>22</v>
      </c>
      <c r="F113" t="s">
        <v>24</v>
      </c>
      <c r="G113">
        <v>450</v>
      </c>
      <c r="H113">
        <v>450</v>
      </c>
      <c r="I113" t="s">
        <v>29</v>
      </c>
      <c r="J113" s="2">
        <v>34.621179775530393</v>
      </c>
      <c r="K113" s="3">
        <v>76.935955056734201</v>
      </c>
      <c r="L113" s="2">
        <v>0</v>
      </c>
      <c r="M113" s="3">
        <v>0</v>
      </c>
      <c r="N113" s="7">
        <v>35.5</v>
      </c>
      <c r="O113" s="4">
        <f t="shared" si="21"/>
        <v>78.888888888888886</v>
      </c>
      <c r="P113" s="2">
        <f t="shared" si="22"/>
        <v>70.121179775530393</v>
      </c>
      <c r="Q113" s="3">
        <f t="shared" si="23"/>
        <v>155.82484394562309</v>
      </c>
      <c r="V113">
        <f t="shared" si="24"/>
        <v>642.07140416841071</v>
      </c>
      <c r="W113">
        <f t="shared" si="25"/>
        <v>685.01838628141309</v>
      </c>
      <c r="X113">
        <f t="shared" si="26"/>
        <v>763.59369814554714</v>
      </c>
      <c r="Y113">
        <f t="shared" si="27"/>
        <v>449.5778779028924</v>
      </c>
    </row>
    <row r="114" spans="2:25" x14ac:dyDescent="0.25">
      <c r="B114" t="s">
        <v>32</v>
      </c>
      <c r="D114" t="s">
        <v>22</v>
      </c>
      <c r="F114" t="s">
        <v>17</v>
      </c>
      <c r="G114">
        <v>175</v>
      </c>
      <c r="H114">
        <v>175</v>
      </c>
      <c r="I114" t="s">
        <v>33</v>
      </c>
      <c r="J114" s="2">
        <v>1.48826775836826</v>
      </c>
      <c r="K114" s="3">
        <v>8.5043871906757698</v>
      </c>
      <c r="L114" s="2">
        <v>0</v>
      </c>
      <c r="M114" s="3">
        <v>0</v>
      </c>
      <c r="N114" s="7">
        <v>24.82</v>
      </c>
      <c r="O114" s="4">
        <f t="shared" si="21"/>
        <v>141.82857142857145</v>
      </c>
      <c r="P114" s="2">
        <f t="shared" si="22"/>
        <v>26.30826775836826</v>
      </c>
      <c r="Q114" s="3">
        <f t="shared" si="23"/>
        <v>150.33295861924719</v>
      </c>
      <c r="V114">
        <f t="shared" si="24"/>
        <v>642.07140416841071</v>
      </c>
      <c r="W114">
        <f t="shared" si="25"/>
        <v>685.01838628141309</v>
      </c>
      <c r="X114">
        <f t="shared" si="26"/>
        <v>763.59369814554714</v>
      </c>
      <c r="Y114">
        <f t="shared" si="27"/>
        <v>449.5778779028924</v>
      </c>
    </row>
    <row r="115" spans="2:25" x14ac:dyDescent="0.25">
      <c r="B115" t="s">
        <v>98</v>
      </c>
      <c r="D115" t="s">
        <v>16</v>
      </c>
      <c r="F115" t="s">
        <v>17</v>
      </c>
      <c r="G115">
        <v>250</v>
      </c>
      <c r="H115">
        <v>250</v>
      </c>
      <c r="I115" t="s">
        <v>29</v>
      </c>
      <c r="J115" s="2">
        <v>24.24894212876195</v>
      </c>
      <c r="K115" s="3">
        <v>96.995768515047814</v>
      </c>
      <c r="L115" s="2">
        <v>0</v>
      </c>
      <c r="M115" s="3">
        <v>0</v>
      </c>
      <c r="N115" s="7">
        <v>12.84</v>
      </c>
      <c r="O115" s="4">
        <f t="shared" si="21"/>
        <v>51.36</v>
      </c>
      <c r="P115" s="2">
        <f t="shared" si="22"/>
        <v>37.08894212876195</v>
      </c>
      <c r="Q115" s="3">
        <f t="shared" si="23"/>
        <v>148.3557685150478</v>
      </c>
      <c r="V115">
        <f t="shared" si="24"/>
        <v>642.07140416841071</v>
      </c>
      <c r="W115">
        <f t="shared" si="25"/>
        <v>685.01838628141309</v>
      </c>
      <c r="X115">
        <f t="shared" si="26"/>
        <v>763.59369814554714</v>
      </c>
      <c r="Y115">
        <f t="shared" si="27"/>
        <v>449.5778779028924</v>
      </c>
    </row>
    <row r="116" spans="2:25" x14ac:dyDescent="0.25">
      <c r="B116" t="s">
        <v>37</v>
      </c>
      <c r="D116" t="s">
        <v>22</v>
      </c>
      <c r="F116" t="s">
        <v>17</v>
      </c>
      <c r="G116">
        <v>550</v>
      </c>
      <c r="H116">
        <v>550</v>
      </c>
      <c r="I116" t="s">
        <v>18</v>
      </c>
      <c r="J116" s="2">
        <v>35.880274947154341</v>
      </c>
      <c r="K116" s="3">
        <v>65.236863540280623</v>
      </c>
      <c r="L116" s="2">
        <v>0</v>
      </c>
      <c r="M116" s="3">
        <v>0</v>
      </c>
      <c r="N116" s="7">
        <v>44.87</v>
      </c>
      <c r="O116" s="4">
        <f t="shared" si="21"/>
        <v>81.581818181818178</v>
      </c>
      <c r="P116" s="2">
        <f t="shared" si="22"/>
        <v>80.750274947154338</v>
      </c>
      <c r="Q116" s="3">
        <f t="shared" si="23"/>
        <v>146.8186817220988</v>
      </c>
      <c r="V116">
        <f t="shared" si="24"/>
        <v>642.07140416841071</v>
      </c>
      <c r="W116">
        <f t="shared" si="25"/>
        <v>685.01838628141309</v>
      </c>
      <c r="X116">
        <f t="shared" si="26"/>
        <v>763.59369814554714</v>
      </c>
      <c r="Y116">
        <f t="shared" si="27"/>
        <v>449.5778779028924</v>
      </c>
    </row>
    <row r="117" spans="2:25" x14ac:dyDescent="0.25">
      <c r="B117" t="s">
        <v>113</v>
      </c>
      <c r="D117" t="s">
        <v>16</v>
      </c>
      <c r="F117" t="s">
        <v>24</v>
      </c>
      <c r="G117">
        <v>200</v>
      </c>
      <c r="H117">
        <v>200</v>
      </c>
      <c r="I117" t="s">
        <v>18</v>
      </c>
      <c r="J117" s="2">
        <v>9.7842277983806927</v>
      </c>
      <c r="K117" s="3">
        <v>48.921138991903462</v>
      </c>
      <c r="L117" s="2">
        <v>0</v>
      </c>
      <c r="M117" s="3">
        <v>0</v>
      </c>
      <c r="N117" s="7">
        <v>15.571</v>
      </c>
      <c r="O117" s="4">
        <f t="shared" si="21"/>
        <v>77.85499999999999</v>
      </c>
      <c r="P117" s="2">
        <f t="shared" si="22"/>
        <v>25.355227798380692</v>
      </c>
      <c r="Q117" s="3">
        <f t="shared" si="23"/>
        <v>126.77613899190347</v>
      </c>
      <c r="V117">
        <f t="shared" si="24"/>
        <v>642.07140416841071</v>
      </c>
      <c r="W117">
        <f t="shared" si="25"/>
        <v>685.01838628141309</v>
      </c>
      <c r="X117">
        <f t="shared" si="26"/>
        <v>763.59369814554714</v>
      </c>
      <c r="Y117">
        <f t="shared" si="27"/>
        <v>449.5778779028924</v>
      </c>
    </row>
    <row r="118" spans="2:25" x14ac:dyDescent="0.25">
      <c r="B118" t="s">
        <v>54</v>
      </c>
      <c r="D118" t="s">
        <v>47</v>
      </c>
      <c r="F118" t="s">
        <v>24</v>
      </c>
      <c r="G118">
        <v>180</v>
      </c>
      <c r="H118">
        <v>180</v>
      </c>
      <c r="I118" t="s">
        <v>29</v>
      </c>
      <c r="J118" s="2">
        <v>7.9974238704206799</v>
      </c>
      <c r="K118" s="3">
        <v>44.430132613448222</v>
      </c>
      <c r="L118" s="2">
        <v>0</v>
      </c>
      <c r="M118" s="3">
        <v>0</v>
      </c>
      <c r="N118" s="7">
        <v>12.635999999999999</v>
      </c>
      <c r="O118" s="4">
        <f t="shared" si="21"/>
        <v>70.2</v>
      </c>
      <c r="P118" s="2">
        <f t="shared" si="22"/>
        <v>20.633423870420678</v>
      </c>
      <c r="Q118" s="3">
        <f t="shared" si="23"/>
        <v>114.63013261344823</v>
      </c>
      <c r="V118">
        <f t="shared" si="24"/>
        <v>642.07140416841071</v>
      </c>
      <c r="W118">
        <f t="shared" si="25"/>
        <v>685.01838628141309</v>
      </c>
      <c r="X118">
        <f t="shared" si="26"/>
        <v>763.59369814554714</v>
      </c>
      <c r="Y118">
        <f t="shared" si="27"/>
        <v>449.5778779028924</v>
      </c>
    </row>
    <row r="119" spans="2:25" x14ac:dyDescent="0.25">
      <c r="B119" t="s">
        <v>97</v>
      </c>
      <c r="D119" t="s">
        <v>47</v>
      </c>
      <c r="F119" t="s">
        <v>17</v>
      </c>
      <c r="G119">
        <v>150</v>
      </c>
      <c r="H119">
        <v>150</v>
      </c>
      <c r="I119" t="s">
        <v>29</v>
      </c>
      <c r="J119" s="2">
        <v>9.5234340649915765</v>
      </c>
      <c r="K119" s="3">
        <v>63.489560433277177</v>
      </c>
      <c r="L119" s="2">
        <v>0</v>
      </c>
      <c r="M119" s="3">
        <v>0</v>
      </c>
      <c r="N119" s="7">
        <v>4.5640000000000001</v>
      </c>
      <c r="O119" s="4">
        <f t="shared" si="21"/>
        <v>30.426666666666669</v>
      </c>
      <c r="P119" s="2">
        <f t="shared" si="22"/>
        <v>14.087434064991577</v>
      </c>
      <c r="Q119" s="3">
        <f t="shared" si="23"/>
        <v>93.916227099943853</v>
      </c>
      <c r="V119">
        <f t="shared" si="24"/>
        <v>642.07140416841071</v>
      </c>
      <c r="W119">
        <f t="shared" si="25"/>
        <v>685.01838628141309</v>
      </c>
      <c r="X119">
        <f t="shared" si="26"/>
        <v>763.59369814554714</v>
      </c>
      <c r="Y119">
        <f t="shared" si="27"/>
        <v>449.5778779028924</v>
      </c>
    </row>
    <row r="120" spans="2:25" x14ac:dyDescent="0.25">
      <c r="B120" t="s">
        <v>57</v>
      </c>
      <c r="D120" t="s">
        <v>16</v>
      </c>
      <c r="F120" t="s">
        <v>24</v>
      </c>
      <c r="G120">
        <v>100</v>
      </c>
      <c r="H120">
        <v>100</v>
      </c>
      <c r="I120" t="s">
        <v>18</v>
      </c>
      <c r="J120" s="2">
        <v>4.9146050278868971</v>
      </c>
      <c r="K120" s="3">
        <v>49.146050278868977</v>
      </c>
      <c r="L120" s="2">
        <v>0</v>
      </c>
      <c r="M120" s="3">
        <v>0</v>
      </c>
      <c r="N120" s="7">
        <v>2.42</v>
      </c>
      <c r="O120" s="4">
        <f t="shared" si="21"/>
        <v>24.2</v>
      </c>
      <c r="P120" s="2">
        <f t="shared" si="22"/>
        <v>7.3346050278868971</v>
      </c>
      <c r="Q120" s="3">
        <f t="shared" si="23"/>
        <v>73.346050278868972</v>
      </c>
      <c r="V120">
        <f t="shared" si="24"/>
        <v>642.07140416841071</v>
      </c>
      <c r="W120">
        <f t="shared" si="25"/>
        <v>685.01838628141309</v>
      </c>
      <c r="X120">
        <f t="shared" si="26"/>
        <v>763.59369814554714</v>
      </c>
      <c r="Y120">
        <f t="shared" si="27"/>
        <v>449.5778779028924</v>
      </c>
    </row>
    <row r="121" spans="2:25" x14ac:dyDescent="0.25">
      <c r="B121" t="s">
        <v>91</v>
      </c>
      <c r="D121" t="s">
        <v>22</v>
      </c>
      <c r="F121" t="s">
        <v>24</v>
      </c>
      <c r="G121">
        <v>70</v>
      </c>
      <c r="H121">
        <v>70</v>
      </c>
      <c r="I121" t="s">
        <v>29</v>
      </c>
      <c r="J121" s="2">
        <v>0</v>
      </c>
      <c r="K121" s="3">
        <v>0</v>
      </c>
      <c r="L121" s="2">
        <v>0</v>
      </c>
      <c r="M121" s="3">
        <v>0</v>
      </c>
      <c r="N121" s="7">
        <v>3.298</v>
      </c>
      <c r="O121" s="4">
        <f t="shared" si="21"/>
        <v>47.114285714285714</v>
      </c>
      <c r="P121" s="2">
        <f t="shared" si="22"/>
        <v>3.298</v>
      </c>
      <c r="Q121" s="3">
        <f t="shared" si="23"/>
        <v>47.114285714285714</v>
      </c>
      <c r="V121">
        <f t="shared" si="24"/>
        <v>642.07140416841071</v>
      </c>
      <c r="W121">
        <f t="shared" si="25"/>
        <v>685.01838628141309</v>
      </c>
      <c r="X121">
        <f t="shared" si="26"/>
        <v>763.59369814554714</v>
      </c>
      <c r="Y121">
        <f t="shared" si="27"/>
        <v>449.5778779028924</v>
      </c>
    </row>
    <row r="122" spans="2:25" x14ac:dyDescent="0.25">
      <c r="B122" t="s">
        <v>50</v>
      </c>
      <c r="D122" t="s">
        <v>22</v>
      </c>
      <c r="F122" t="s">
        <v>17</v>
      </c>
      <c r="G122">
        <v>200</v>
      </c>
      <c r="H122">
        <v>200</v>
      </c>
      <c r="I122" t="s">
        <v>33</v>
      </c>
      <c r="J122" s="2">
        <v>2.0951953536253729</v>
      </c>
      <c r="K122" s="3">
        <v>10.475976768126859</v>
      </c>
      <c r="L122" s="2">
        <v>0</v>
      </c>
      <c r="M122" s="3">
        <v>0</v>
      </c>
      <c r="N122" s="7">
        <v>0.54</v>
      </c>
      <c r="O122" s="4">
        <f t="shared" si="21"/>
        <v>2.7</v>
      </c>
      <c r="P122" s="2">
        <f t="shared" si="22"/>
        <v>2.6351953536253729</v>
      </c>
      <c r="Q122" s="3">
        <f t="shared" si="23"/>
        <v>13.175976768126866</v>
      </c>
      <c r="V122">
        <f t="shared" si="24"/>
        <v>642.07140416841071</v>
      </c>
      <c r="W122">
        <f t="shared" si="25"/>
        <v>685.01838628141309</v>
      </c>
      <c r="X122">
        <f t="shared" si="26"/>
        <v>763.59369814554714</v>
      </c>
      <c r="Y122">
        <f t="shared" si="27"/>
        <v>449.5778779028924</v>
      </c>
    </row>
  </sheetData>
  <autoFilter ref="A1:R122" xr:uid="{00000000-0001-0000-0200-000000000000}">
    <sortState xmlns:xlrd2="http://schemas.microsoft.com/office/spreadsheetml/2017/richdata2" ref="A2:R122">
      <sortCondition descending="1" ref="Q1:Q122"/>
    </sortState>
  </autoFilter>
  <pageMargins left="0.75" right="0.75" top="1" bottom="1" header="0.5" footer="0.5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6"/>
  <sheetViews>
    <sheetView workbookViewId="0">
      <pane ySplit="1" topLeftCell="A50" activePane="bottomLeft" state="frozen"/>
      <selection pane="bottomLeft" activeCell="X13" sqref="X13"/>
    </sheetView>
  </sheetViews>
  <sheetFormatPr defaultRowHeight="15" x14ac:dyDescent="0.25"/>
  <cols>
    <col min="14" max="14" width="12.7109375" customWidth="1"/>
    <col min="15" max="15" width="11.85546875" customWidth="1"/>
    <col min="17" max="17" width="9.7109375" customWidth="1"/>
    <col min="21" max="21" width="0" hidden="1" customWidth="1"/>
  </cols>
  <sheetData>
    <row r="1" spans="1:21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156</v>
      </c>
      <c r="O1" s="5" t="s">
        <v>157</v>
      </c>
      <c r="P1" s="1" t="s">
        <v>13</v>
      </c>
      <c r="Q1" s="1" t="s">
        <v>14</v>
      </c>
      <c r="R1" s="1" t="s">
        <v>159</v>
      </c>
    </row>
    <row r="2" spans="1:21" x14ac:dyDescent="0.25">
      <c r="B2" t="s">
        <v>129</v>
      </c>
      <c r="D2" t="s">
        <v>22</v>
      </c>
      <c r="F2" t="s">
        <v>24</v>
      </c>
      <c r="G2">
        <v>105</v>
      </c>
      <c r="H2">
        <v>105</v>
      </c>
      <c r="I2" t="s">
        <v>18</v>
      </c>
      <c r="J2" s="2">
        <v>30.463924124076161</v>
      </c>
      <c r="K2" s="3">
        <v>290.13261070548731</v>
      </c>
      <c r="L2" s="2">
        <v>173.77699999999999</v>
      </c>
      <c r="M2" s="3">
        <v>1655.0190476190469</v>
      </c>
      <c r="N2" s="7">
        <v>22.6</v>
      </c>
      <c r="O2" s="4">
        <f t="shared" ref="O2:O33" si="0">(N2/G2)*1000</f>
        <v>215.23809523809527</v>
      </c>
      <c r="P2" s="2">
        <f t="shared" ref="P2:P33" si="1">SUM(J2,L2,N2)</f>
        <v>226.84092412407614</v>
      </c>
      <c r="Q2" s="3">
        <f t="shared" ref="Q2:Q33" si="2">(P2/G2)*1000</f>
        <v>2160.3897535626302</v>
      </c>
      <c r="U2">
        <f t="shared" ref="U2:U56" si="3">AVERAGEIF($D$2:$D$122, "AR", $Q$2:$Q$122)</f>
        <v>642.07140416841071</v>
      </c>
    </row>
    <row r="3" spans="1:21" x14ac:dyDescent="0.25">
      <c r="B3" t="s">
        <v>133</v>
      </c>
      <c r="D3" t="s">
        <v>22</v>
      </c>
      <c r="F3" t="s">
        <v>24</v>
      </c>
      <c r="G3">
        <v>120</v>
      </c>
      <c r="H3">
        <v>120</v>
      </c>
      <c r="I3" t="s">
        <v>29</v>
      </c>
      <c r="J3" s="2">
        <v>111.7054950311058</v>
      </c>
      <c r="K3" s="3">
        <v>930.87912525921502</v>
      </c>
      <c r="L3" s="2">
        <v>74.025999999999954</v>
      </c>
      <c r="M3" s="3">
        <v>616.88333333333287</v>
      </c>
      <c r="N3" s="7">
        <v>22.864999999999998</v>
      </c>
      <c r="O3" s="4">
        <f t="shared" si="0"/>
        <v>190.54166666666666</v>
      </c>
      <c r="P3" s="2">
        <f t="shared" si="1"/>
        <v>208.59649503110575</v>
      </c>
      <c r="Q3" s="3">
        <f t="shared" si="2"/>
        <v>1738.3041252592145</v>
      </c>
      <c r="U3">
        <f t="shared" si="3"/>
        <v>642.07140416841071</v>
      </c>
    </row>
    <row r="4" spans="1:21" x14ac:dyDescent="0.25">
      <c r="B4" t="s">
        <v>78</v>
      </c>
      <c r="D4" t="s">
        <v>22</v>
      </c>
      <c r="F4" t="s">
        <v>24</v>
      </c>
      <c r="G4">
        <v>100</v>
      </c>
      <c r="H4">
        <v>100</v>
      </c>
      <c r="I4" t="s">
        <v>29</v>
      </c>
      <c r="J4" s="2">
        <v>3.4841535711442302</v>
      </c>
      <c r="K4" s="3">
        <v>34.841535711442297</v>
      </c>
      <c r="L4" s="2">
        <v>91.470000000000041</v>
      </c>
      <c r="M4" s="3">
        <v>914.70000000000039</v>
      </c>
      <c r="N4" s="7">
        <v>30.92</v>
      </c>
      <c r="O4" s="4">
        <f t="shared" si="0"/>
        <v>309.20000000000005</v>
      </c>
      <c r="P4" s="2">
        <f t="shared" si="1"/>
        <v>125.87415357114428</v>
      </c>
      <c r="Q4" s="3">
        <f t="shared" si="2"/>
        <v>1258.7415357114428</v>
      </c>
      <c r="U4">
        <f>AVERAGEIF($D$2:$D$122, "AR", $Q$2:$Q$122)</f>
        <v>642.07140416841071</v>
      </c>
    </row>
    <row r="5" spans="1:21" x14ac:dyDescent="0.25">
      <c r="B5" t="s">
        <v>88</v>
      </c>
      <c r="D5" t="s">
        <v>22</v>
      </c>
      <c r="F5" t="s">
        <v>24</v>
      </c>
      <c r="G5">
        <v>375</v>
      </c>
      <c r="H5">
        <v>375</v>
      </c>
      <c r="I5" t="s">
        <v>18</v>
      </c>
      <c r="J5" s="2">
        <v>155.53691747935969</v>
      </c>
      <c r="K5" s="3">
        <v>414.76511327829252</v>
      </c>
      <c r="L5" s="2">
        <v>221.36200000000011</v>
      </c>
      <c r="M5" s="3">
        <v>590.2986666666668</v>
      </c>
      <c r="N5" s="7">
        <v>40.270000000000003</v>
      </c>
      <c r="O5" s="4">
        <f t="shared" si="0"/>
        <v>107.38666666666667</v>
      </c>
      <c r="P5" s="2">
        <f t="shared" si="1"/>
        <v>417.16891747935978</v>
      </c>
      <c r="Q5" s="3">
        <f t="shared" si="2"/>
        <v>1112.4504466116261</v>
      </c>
      <c r="U5">
        <f t="shared" si="3"/>
        <v>642.07140416841071</v>
      </c>
    </row>
    <row r="6" spans="1:21" x14ac:dyDescent="0.25">
      <c r="B6" t="s">
        <v>108</v>
      </c>
      <c r="D6" t="s">
        <v>22</v>
      </c>
      <c r="F6" t="s">
        <v>24</v>
      </c>
      <c r="G6">
        <v>150</v>
      </c>
      <c r="H6">
        <v>150</v>
      </c>
      <c r="I6" t="s">
        <v>18</v>
      </c>
      <c r="J6" s="2">
        <v>43.287133437666363</v>
      </c>
      <c r="K6" s="3">
        <v>288.58088958444239</v>
      </c>
      <c r="L6" s="2">
        <v>94.379000000000019</v>
      </c>
      <c r="M6" s="3">
        <v>629.1933333333335</v>
      </c>
      <c r="N6" s="7">
        <v>22.52</v>
      </c>
      <c r="O6" s="4">
        <f t="shared" si="0"/>
        <v>150.13333333333335</v>
      </c>
      <c r="P6" s="2">
        <f t="shared" si="1"/>
        <v>160.1861334376664</v>
      </c>
      <c r="Q6" s="3">
        <f t="shared" si="2"/>
        <v>1067.9075562511093</v>
      </c>
      <c r="U6">
        <f t="shared" si="3"/>
        <v>642.07140416841071</v>
      </c>
    </row>
    <row r="7" spans="1:21" x14ac:dyDescent="0.25">
      <c r="B7" t="s">
        <v>87</v>
      </c>
      <c r="D7" t="s">
        <v>22</v>
      </c>
      <c r="F7" t="s">
        <v>24</v>
      </c>
      <c r="G7">
        <v>375</v>
      </c>
      <c r="H7">
        <v>375</v>
      </c>
      <c r="I7" t="s">
        <v>18</v>
      </c>
      <c r="J7" s="2">
        <v>112.4680917730207</v>
      </c>
      <c r="K7" s="3">
        <v>299.91491139472168</v>
      </c>
      <c r="L7" s="2">
        <v>234.8</v>
      </c>
      <c r="M7" s="3">
        <v>626.13333333333333</v>
      </c>
      <c r="N7" s="7">
        <v>49.62</v>
      </c>
      <c r="O7" s="4">
        <f t="shared" si="0"/>
        <v>132.32</v>
      </c>
      <c r="P7" s="2">
        <f t="shared" si="1"/>
        <v>396.88809177302073</v>
      </c>
      <c r="Q7" s="3">
        <f t="shared" si="2"/>
        <v>1058.3682447280553</v>
      </c>
      <c r="U7">
        <f t="shared" si="3"/>
        <v>642.07140416841071</v>
      </c>
    </row>
    <row r="8" spans="1:21" x14ac:dyDescent="0.25">
      <c r="B8" t="s">
        <v>89</v>
      </c>
      <c r="D8" t="s">
        <v>22</v>
      </c>
      <c r="F8" t="s">
        <v>24</v>
      </c>
      <c r="G8">
        <v>375</v>
      </c>
      <c r="H8">
        <v>375</v>
      </c>
      <c r="I8" t="s">
        <v>18</v>
      </c>
      <c r="J8" s="2">
        <v>112.62256693382341</v>
      </c>
      <c r="K8" s="3">
        <v>300.32684515686219</v>
      </c>
      <c r="L8" s="2">
        <v>234.5920000000001</v>
      </c>
      <c r="M8" s="3">
        <v>625.57866666666689</v>
      </c>
      <c r="N8" s="7">
        <v>49.62</v>
      </c>
      <c r="O8" s="4">
        <f t="shared" si="0"/>
        <v>132.32</v>
      </c>
      <c r="P8" s="2">
        <f t="shared" si="1"/>
        <v>396.83456693382351</v>
      </c>
      <c r="Q8" s="3">
        <f t="shared" si="2"/>
        <v>1058.2255118235294</v>
      </c>
      <c r="U8">
        <f t="shared" si="3"/>
        <v>642.07140416841071</v>
      </c>
    </row>
    <row r="9" spans="1:21" x14ac:dyDescent="0.25">
      <c r="B9" t="s">
        <v>105</v>
      </c>
      <c r="D9" t="s">
        <v>22</v>
      </c>
      <c r="F9" t="s">
        <v>24</v>
      </c>
      <c r="G9">
        <v>222</v>
      </c>
      <c r="H9">
        <v>222</v>
      </c>
      <c r="I9" t="s">
        <v>29</v>
      </c>
      <c r="J9" s="2">
        <v>82.789380855269684</v>
      </c>
      <c r="K9" s="3">
        <v>372.9251389877013</v>
      </c>
      <c r="L9" s="2">
        <v>111.789</v>
      </c>
      <c r="M9" s="3">
        <v>503.55405405405418</v>
      </c>
      <c r="N9" s="7">
        <f>SUM(0.57, 38.76)</f>
        <v>39.33</v>
      </c>
      <c r="O9" s="4">
        <f t="shared" si="0"/>
        <v>177.16216216216216</v>
      </c>
      <c r="P9" s="2">
        <f t="shared" si="1"/>
        <v>233.90838085526968</v>
      </c>
      <c r="Q9" s="3">
        <f t="shared" si="2"/>
        <v>1053.6413552039173</v>
      </c>
      <c r="R9" t="s">
        <v>162</v>
      </c>
      <c r="U9">
        <f t="shared" si="3"/>
        <v>642.07140416841071</v>
      </c>
    </row>
    <row r="10" spans="1:21" x14ac:dyDescent="0.25">
      <c r="B10" t="s">
        <v>135</v>
      </c>
      <c r="D10" t="s">
        <v>22</v>
      </c>
      <c r="F10" t="s">
        <v>24</v>
      </c>
      <c r="G10">
        <v>100</v>
      </c>
      <c r="H10">
        <v>100</v>
      </c>
      <c r="I10" t="s">
        <v>29</v>
      </c>
      <c r="J10" s="2">
        <v>6.6362503587135961</v>
      </c>
      <c r="K10" s="3">
        <v>66.362503587135961</v>
      </c>
      <c r="L10" s="2">
        <v>78.11</v>
      </c>
      <c r="M10" s="3">
        <v>781.1</v>
      </c>
      <c r="N10" s="7">
        <v>17.111000000000001</v>
      </c>
      <c r="O10" s="4">
        <f t="shared" si="0"/>
        <v>171.11</v>
      </c>
      <c r="P10" s="2">
        <f t="shared" si="1"/>
        <v>101.8572503587136</v>
      </c>
      <c r="Q10" s="3">
        <f t="shared" si="2"/>
        <v>1018.572503587136</v>
      </c>
      <c r="U10">
        <f t="shared" si="3"/>
        <v>642.07140416841071</v>
      </c>
    </row>
    <row r="11" spans="1:21" x14ac:dyDescent="0.25">
      <c r="B11" t="s">
        <v>34</v>
      </c>
      <c r="D11" t="s">
        <v>22</v>
      </c>
      <c r="F11" t="s">
        <v>24</v>
      </c>
      <c r="G11">
        <v>100</v>
      </c>
      <c r="H11">
        <v>100</v>
      </c>
      <c r="I11" t="s">
        <v>29</v>
      </c>
      <c r="J11" s="2">
        <v>10.69871105250273</v>
      </c>
      <c r="K11" s="3">
        <v>106.9871105250273</v>
      </c>
      <c r="L11" s="2">
        <v>72.881999999999991</v>
      </c>
      <c r="M11" s="3">
        <v>728.81999999999994</v>
      </c>
      <c r="N11" s="7">
        <v>17.98</v>
      </c>
      <c r="O11" s="4">
        <f t="shared" si="0"/>
        <v>179.8</v>
      </c>
      <c r="P11" s="2">
        <f t="shared" si="1"/>
        <v>101.56071105250273</v>
      </c>
      <c r="Q11" s="3">
        <f t="shared" si="2"/>
        <v>1015.6071105250272</v>
      </c>
      <c r="U11">
        <f t="shared" si="3"/>
        <v>642.07140416841071</v>
      </c>
    </row>
    <row r="12" spans="1:21" x14ac:dyDescent="0.25">
      <c r="B12" t="s">
        <v>45</v>
      </c>
      <c r="D12" t="s">
        <v>22</v>
      </c>
      <c r="F12" t="s">
        <v>24</v>
      </c>
      <c r="G12">
        <v>300</v>
      </c>
      <c r="H12">
        <v>300</v>
      </c>
      <c r="I12" t="s">
        <v>33</v>
      </c>
      <c r="J12" s="2">
        <v>25.15843966066188</v>
      </c>
      <c r="K12" s="3">
        <v>83.861465535539608</v>
      </c>
      <c r="L12" s="2">
        <v>223.12799999999999</v>
      </c>
      <c r="M12" s="3">
        <v>743.7600000000001</v>
      </c>
      <c r="N12" s="7">
        <v>56.11</v>
      </c>
      <c r="O12" s="4">
        <f t="shared" si="0"/>
        <v>187.03333333333333</v>
      </c>
      <c r="P12" s="2">
        <f t="shared" si="1"/>
        <v>304.39643966066188</v>
      </c>
      <c r="Q12" s="3">
        <f t="shared" si="2"/>
        <v>1014.6547988688729</v>
      </c>
      <c r="U12">
        <f t="shared" si="3"/>
        <v>642.07140416841071</v>
      </c>
    </row>
    <row r="13" spans="1:21" x14ac:dyDescent="0.25">
      <c r="B13" t="s">
        <v>86</v>
      </c>
      <c r="D13" t="s">
        <v>22</v>
      </c>
      <c r="F13" t="s">
        <v>24</v>
      </c>
      <c r="G13">
        <v>500</v>
      </c>
      <c r="H13">
        <v>500</v>
      </c>
      <c r="I13" t="s">
        <v>33</v>
      </c>
      <c r="J13" s="2">
        <v>66.73620066115204</v>
      </c>
      <c r="K13" s="3">
        <v>133.47240132230411</v>
      </c>
      <c r="L13" s="2">
        <v>371.88799999999998</v>
      </c>
      <c r="M13" s="3">
        <v>743.77600000000007</v>
      </c>
      <c r="N13" s="7">
        <v>56.11</v>
      </c>
      <c r="O13" s="4">
        <f t="shared" si="0"/>
        <v>112.22</v>
      </c>
      <c r="P13" s="2">
        <f t="shared" si="1"/>
        <v>494.73420066115204</v>
      </c>
      <c r="Q13" s="3">
        <f t="shared" si="2"/>
        <v>989.46840132230409</v>
      </c>
      <c r="U13">
        <f t="shared" si="3"/>
        <v>642.07140416841071</v>
      </c>
    </row>
    <row r="14" spans="1:21" x14ac:dyDescent="0.25">
      <c r="B14" t="s">
        <v>48</v>
      </c>
      <c r="D14" t="s">
        <v>22</v>
      </c>
      <c r="F14" t="s">
        <v>24</v>
      </c>
      <c r="G14">
        <v>105.8</v>
      </c>
      <c r="H14">
        <v>105.8</v>
      </c>
      <c r="I14" t="s">
        <v>18</v>
      </c>
      <c r="J14" s="2">
        <v>46.467927867756359</v>
      </c>
      <c r="K14" s="3">
        <v>439.20536737009792</v>
      </c>
      <c r="L14" s="2">
        <v>37.204000000000001</v>
      </c>
      <c r="M14" s="3">
        <v>351.64461247637053</v>
      </c>
      <c r="N14" s="7">
        <v>18.498000000000001</v>
      </c>
      <c r="O14" s="4">
        <f t="shared" si="0"/>
        <v>174.83931947069945</v>
      </c>
      <c r="P14" s="2">
        <f t="shared" si="1"/>
        <v>102.16992786775636</v>
      </c>
      <c r="Q14" s="3">
        <f t="shared" si="2"/>
        <v>965.68929931716787</v>
      </c>
      <c r="U14">
        <f t="shared" si="3"/>
        <v>642.07140416841071</v>
      </c>
    </row>
    <row r="15" spans="1:21" x14ac:dyDescent="0.25">
      <c r="B15" t="s">
        <v>43</v>
      </c>
      <c r="D15" t="s">
        <v>22</v>
      </c>
      <c r="F15" t="s">
        <v>24</v>
      </c>
      <c r="G15">
        <v>200</v>
      </c>
      <c r="H15">
        <v>200</v>
      </c>
      <c r="I15" t="s">
        <v>33</v>
      </c>
      <c r="J15" s="2">
        <v>35.153825573686397</v>
      </c>
      <c r="K15" s="3">
        <v>175.76912786843201</v>
      </c>
      <c r="L15" s="2">
        <v>147.92400000000001</v>
      </c>
      <c r="M15" s="3">
        <v>739.61999999999989</v>
      </c>
      <c r="N15" s="7">
        <v>6.8959999999999999</v>
      </c>
      <c r="O15" s="4">
        <f t="shared" si="0"/>
        <v>34.479999999999997</v>
      </c>
      <c r="P15" s="2">
        <f t="shared" si="1"/>
        <v>189.97382557368638</v>
      </c>
      <c r="Q15" s="3">
        <f t="shared" si="2"/>
        <v>949.86912786843186</v>
      </c>
      <c r="U15">
        <f t="shared" si="3"/>
        <v>642.07140416841071</v>
      </c>
    </row>
    <row r="16" spans="1:21" x14ac:dyDescent="0.25">
      <c r="B16" t="s">
        <v>93</v>
      </c>
      <c r="D16" t="s">
        <v>22</v>
      </c>
      <c r="F16" t="s">
        <v>24</v>
      </c>
      <c r="G16">
        <v>150</v>
      </c>
      <c r="H16">
        <v>150</v>
      </c>
      <c r="I16" t="s">
        <v>29</v>
      </c>
      <c r="J16" s="2">
        <v>34.380913705167643</v>
      </c>
      <c r="K16" s="3">
        <v>229.20609136778421</v>
      </c>
      <c r="L16" s="2">
        <v>80.105000000000004</v>
      </c>
      <c r="M16" s="3">
        <v>534.0333333333333</v>
      </c>
      <c r="N16" s="7">
        <v>24.94</v>
      </c>
      <c r="O16" s="4">
        <f t="shared" si="0"/>
        <v>166.26666666666668</v>
      </c>
      <c r="P16" s="2">
        <f t="shared" si="1"/>
        <v>139.42591370516766</v>
      </c>
      <c r="Q16" s="3">
        <f t="shared" si="2"/>
        <v>929.50609136778439</v>
      </c>
      <c r="U16">
        <f t="shared" si="3"/>
        <v>642.07140416841071</v>
      </c>
    </row>
    <row r="17" spans="2:21" x14ac:dyDescent="0.25">
      <c r="B17" t="s">
        <v>147</v>
      </c>
      <c r="D17" t="s">
        <v>22</v>
      </c>
      <c r="F17" t="s">
        <v>24</v>
      </c>
      <c r="G17">
        <v>500</v>
      </c>
      <c r="H17">
        <v>500</v>
      </c>
      <c r="I17" t="s">
        <v>18</v>
      </c>
      <c r="J17" s="2">
        <v>49.879956463360678</v>
      </c>
      <c r="K17" s="3">
        <v>99.759912926721356</v>
      </c>
      <c r="L17" s="2">
        <v>406.20600000000002</v>
      </c>
      <c r="M17" s="3">
        <v>812.41200000000003</v>
      </c>
      <c r="N17" s="7">
        <v>4.51</v>
      </c>
      <c r="O17" s="4">
        <f t="shared" si="0"/>
        <v>9.02</v>
      </c>
      <c r="P17" s="2">
        <f t="shared" si="1"/>
        <v>460.59595646336066</v>
      </c>
      <c r="Q17" s="3">
        <f t="shared" si="2"/>
        <v>921.19191292672133</v>
      </c>
      <c r="U17">
        <f t="shared" si="3"/>
        <v>642.07140416841071</v>
      </c>
    </row>
    <row r="18" spans="2:21" x14ac:dyDescent="0.25">
      <c r="B18" t="s">
        <v>122</v>
      </c>
      <c r="D18" t="s">
        <v>22</v>
      </c>
      <c r="F18" t="s">
        <v>24</v>
      </c>
      <c r="G18">
        <v>365</v>
      </c>
      <c r="H18">
        <v>365</v>
      </c>
      <c r="I18" t="s">
        <v>18</v>
      </c>
      <c r="J18" s="2">
        <v>119.7770105749554</v>
      </c>
      <c r="K18" s="3">
        <v>328.15619335604231</v>
      </c>
      <c r="L18" s="2">
        <v>171.18999999999991</v>
      </c>
      <c r="M18" s="3">
        <v>469.01369863013679</v>
      </c>
      <c r="N18" s="7">
        <v>40.270000000000003</v>
      </c>
      <c r="O18" s="4">
        <f t="shared" si="0"/>
        <v>110.32876712328768</v>
      </c>
      <c r="P18" s="2">
        <f t="shared" si="1"/>
        <v>331.23701057495532</v>
      </c>
      <c r="Q18" s="3">
        <f t="shared" si="2"/>
        <v>907.49865910946664</v>
      </c>
      <c r="U18">
        <f t="shared" si="3"/>
        <v>642.07140416841071</v>
      </c>
    </row>
    <row r="19" spans="2:21" x14ac:dyDescent="0.25">
      <c r="B19" t="s">
        <v>100</v>
      </c>
      <c r="D19" t="s">
        <v>22</v>
      </c>
      <c r="F19" t="s">
        <v>24</v>
      </c>
      <c r="G19">
        <v>400</v>
      </c>
      <c r="H19">
        <v>400</v>
      </c>
      <c r="I19" t="s">
        <v>29</v>
      </c>
      <c r="J19" s="2">
        <v>33.983171903520997</v>
      </c>
      <c r="K19" s="3">
        <v>84.957929758802493</v>
      </c>
      <c r="L19" s="2">
        <v>288.88200000000001</v>
      </c>
      <c r="M19" s="3">
        <v>722.20500000000004</v>
      </c>
      <c r="N19" s="7">
        <v>11.81</v>
      </c>
      <c r="O19" s="4">
        <f t="shared" si="0"/>
        <v>29.525000000000002</v>
      </c>
      <c r="P19" s="2">
        <f t="shared" si="1"/>
        <v>334.675171903521</v>
      </c>
      <c r="Q19" s="3">
        <f t="shared" si="2"/>
        <v>836.68792975880251</v>
      </c>
      <c r="U19">
        <f t="shared" si="3"/>
        <v>642.07140416841071</v>
      </c>
    </row>
    <row r="20" spans="2:21" x14ac:dyDescent="0.25">
      <c r="B20" t="s">
        <v>137</v>
      </c>
      <c r="D20" t="s">
        <v>22</v>
      </c>
      <c r="F20" t="s">
        <v>24</v>
      </c>
      <c r="G20">
        <v>200</v>
      </c>
      <c r="H20">
        <v>200</v>
      </c>
      <c r="I20" t="s">
        <v>29</v>
      </c>
      <c r="J20" s="2">
        <v>24.711726599646259</v>
      </c>
      <c r="K20" s="3">
        <v>123.5586329982313</v>
      </c>
      <c r="L20" s="2">
        <v>114.742</v>
      </c>
      <c r="M20" s="3">
        <v>573.70999999999981</v>
      </c>
      <c r="N20" s="7">
        <v>22.72</v>
      </c>
      <c r="O20" s="4">
        <f t="shared" si="0"/>
        <v>113.6</v>
      </c>
      <c r="P20" s="2">
        <f t="shared" si="1"/>
        <v>162.17372659964627</v>
      </c>
      <c r="Q20" s="3">
        <f t="shared" si="2"/>
        <v>810.86863299823131</v>
      </c>
      <c r="U20">
        <f t="shared" si="3"/>
        <v>642.07140416841071</v>
      </c>
    </row>
    <row r="21" spans="2:21" x14ac:dyDescent="0.25">
      <c r="B21" t="s">
        <v>131</v>
      </c>
      <c r="D21" t="s">
        <v>22</v>
      </c>
      <c r="F21" t="s">
        <v>24</v>
      </c>
      <c r="G21">
        <v>200</v>
      </c>
      <c r="H21">
        <v>200</v>
      </c>
      <c r="I21" t="s">
        <v>18</v>
      </c>
      <c r="J21" s="2">
        <v>19.912159652051692</v>
      </c>
      <c r="K21" s="3">
        <v>99.560798260258451</v>
      </c>
      <c r="L21" s="2">
        <v>127.70399999999999</v>
      </c>
      <c r="M21" s="3">
        <v>638.5200000000001</v>
      </c>
      <c r="N21" s="7">
        <v>8.56</v>
      </c>
      <c r="O21" s="4">
        <f t="shared" si="0"/>
        <v>42.800000000000004</v>
      </c>
      <c r="P21" s="2">
        <f t="shared" si="1"/>
        <v>156.17615965205169</v>
      </c>
      <c r="Q21" s="3">
        <f t="shared" si="2"/>
        <v>780.88079826025842</v>
      </c>
      <c r="U21">
        <f t="shared" si="3"/>
        <v>642.07140416841071</v>
      </c>
    </row>
    <row r="22" spans="2:21" x14ac:dyDescent="0.25">
      <c r="B22" t="s">
        <v>94</v>
      </c>
      <c r="D22" t="s">
        <v>22</v>
      </c>
      <c r="F22" t="s">
        <v>24</v>
      </c>
      <c r="G22">
        <v>125</v>
      </c>
      <c r="H22">
        <v>125</v>
      </c>
      <c r="I22" t="s">
        <v>18</v>
      </c>
      <c r="J22" s="2">
        <v>5.6771760384295291</v>
      </c>
      <c r="K22" s="3">
        <v>45.417408307436233</v>
      </c>
      <c r="L22" s="2">
        <v>69.914999999999992</v>
      </c>
      <c r="M22" s="3">
        <v>559.31999999999994</v>
      </c>
      <c r="N22" s="7">
        <v>18.63</v>
      </c>
      <c r="O22" s="4">
        <f t="shared" si="0"/>
        <v>149.04</v>
      </c>
      <c r="P22" s="2">
        <f t="shared" si="1"/>
        <v>94.222176038429524</v>
      </c>
      <c r="Q22" s="3">
        <f t="shared" si="2"/>
        <v>753.77740830743619</v>
      </c>
      <c r="U22">
        <f t="shared" si="3"/>
        <v>642.07140416841071</v>
      </c>
    </row>
    <row r="23" spans="2:21" x14ac:dyDescent="0.25">
      <c r="B23" t="s">
        <v>64</v>
      </c>
      <c r="C23" t="s">
        <v>65</v>
      </c>
      <c r="D23" t="s">
        <v>22</v>
      </c>
      <c r="F23" t="s">
        <v>24</v>
      </c>
      <c r="G23">
        <v>150</v>
      </c>
      <c r="H23">
        <v>150</v>
      </c>
      <c r="I23" t="s">
        <v>29</v>
      </c>
      <c r="J23" s="2">
        <v>34.250588755558617</v>
      </c>
      <c r="K23" s="3">
        <v>228.3372583703908</v>
      </c>
      <c r="L23" s="2">
        <v>50.759999999999977</v>
      </c>
      <c r="M23" s="3">
        <v>338.39999999999992</v>
      </c>
      <c r="N23" s="7">
        <v>27.562999999999999</v>
      </c>
      <c r="O23" s="4">
        <f t="shared" si="0"/>
        <v>183.75333333333333</v>
      </c>
      <c r="P23" s="2">
        <f t="shared" si="1"/>
        <v>112.57358875555859</v>
      </c>
      <c r="Q23" s="3">
        <f t="shared" si="2"/>
        <v>750.49059170372391</v>
      </c>
      <c r="U23">
        <f t="shared" si="3"/>
        <v>642.07140416841071</v>
      </c>
    </row>
    <row r="24" spans="2:21" x14ac:dyDescent="0.25">
      <c r="B24" t="s">
        <v>142</v>
      </c>
      <c r="D24" t="s">
        <v>22</v>
      </c>
      <c r="F24" t="s">
        <v>24</v>
      </c>
      <c r="G24">
        <v>100</v>
      </c>
      <c r="H24">
        <v>100</v>
      </c>
      <c r="I24" t="s">
        <v>18</v>
      </c>
      <c r="J24" s="2">
        <v>5.3892256561971461</v>
      </c>
      <c r="K24" s="3">
        <v>53.892256561971458</v>
      </c>
      <c r="L24" s="2">
        <v>53.002999999999993</v>
      </c>
      <c r="M24" s="3">
        <v>530.02999999999986</v>
      </c>
      <c r="N24" s="7">
        <v>7.45</v>
      </c>
      <c r="O24" s="4">
        <f t="shared" si="0"/>
        <v>74.5</v>
      </c>
      <c r="P24" s="2">
        <f t="shared" si="1"/>
        <v>65.842225656197144</v>
      </c>
      <c r="Q24" s="3">
        <f t="shared" si="2"/>
        <v>658.42225656197138</v>
      </c>
      <c r="U24">
        <f t="shared" si="3"/>
        <v>642.07140416841071</v>
      </c>
    </row>
    <row r="25" spans="2:21" x14ac:dyDescent="0.25">
      <c r="B25" t="s">
        <v>134</v>
      </c>
      <c r="D25" t="s">
        <v>22</v>
      </c>
      <c r="F25" t="s">
        <v>24</v>
      </c>
      <c r="G25">
        <v>100</v>
      </c>
      <c r="H25">
        <v>100</v>
      </c>
      <c r="I25" t="s">
        <v>29</v>
      </c>
      <c r="J25" s="2">
        <v>2.5318359509536812</v>
      </c>
      <c r="K25" s="3">
        <v>25.318359509536808</v>
      </c>
      <c r="L25" s="2">
        <v>43.820000000000007</v>
      </c>
      <c r="M25" s="3">
        <v>438.2000000000001</v>
      </c>
      <c r="N25" s="7">
        <v>18.940000000000001</v>
      </c>
      <c r="O25" s="4">
        <f t="shared" si="0"/>
        <v>189.4</v>
      </c>
      <c r="P25" s="2">
        <f t="shared" si="1"/>
        <v>65.291835950953683</v>
      </c>
      <c r="Q25" s="3">
        <f t="shared" si="2"/>
        <v>652.9183595095368</v>
      </c>
      <c r="U25">
        <f t="shared" si="3"/>
        <v>642.07140416841071</v>
      </c>
    </row>
    <row r="26" spans="2:21" x14ac:dyDescent="0.25">
      <c r="B26" t="s">
        <v>81</v>
      </c>
      <c r="D26" t="s">
        <v>22</v>
      </c>
      <c r="F26" t="s">
        <v>17</v>
      </c>
      <c r="G26">
        <v>130</v>
      </c>
      <c r="H26">
        <v>130</v>
      </c>
      <c r="I26" t="s">
        <v>18</v>
      </c>
      <c r="J26" s="2">
        <v>52.248042597246219</v>
      </c>
      <c r="K26" s="3">
        <v>401.90801997881709</v>
      </c>
      <c r="L26" s="2">
        <v>0</v>
      </c>
      <c r="M26" s="3">
        <v>0</v>
      </c>
      <c r="N26" s="7">
        <v>25.620999999999999</v>
      </c>
      <c r="O26" s="4">
        <f t="shared" si="0"/>
        <v>197.08461538461538</v>
      </c>
      <c r="P26" s="2">
        <f t="shared" si="1"/>
        <v>77.869042597246221</v>
      </c>
      <c r="Q26" s="3">
        <f t="shared" si="2"/>
        <v>598.99263536343256</v>
      </c>
      <c r="U26">
        <f t="shared" si="3"/>
        <v>642.07140416841071</v>
      </c>
    </row>
    <row r="27" spans="2:21" x14ac:dyDescent="0.25">
      <c r="B27" t="s">
        <v>77</v>
      </c>
      <c r="D27" t="s">
        <v>22</v>
      </c>
      <c r="F27" t="s">
        <v>24</v>
      </c>
      <c r="G27">
        <v>150</v>
      </c>
      <c r="H27">
        <v>150</v>
      </c>
      <c r="I27" t="s">
        <v>29</v>
      </c>
      <c r="J27" s="2">
        <v>7.5108783443277121</v>
      </c>
      <c r="K27" s="3">
        <v>50.072522295518077</v>
      </c>
      <c r="L27" s="2">
        <v>58.154000000000003</v>
      </c>
      <c r="M27" s="3">
        <v>387.69333333333333</v>
      </c>
      <c r="N27" s="7">
        <v>22.25</v>
      </c>
      <c r="O27" s="4">
        <f t="shared" si="0"/>
        <v>148.33333333333334</v>
      </c>
      <c r="P27" s="2">
        <f t="shared" si="1"/>
        <v>87.914878344327718</v>
      </c>
      <c r="Q27" s="3">
        <f t="shared" si="2"/>
        <v>586.09918896218483</v>
      </c>
      <c r="U27">
        <f t="shared" si="3"/>
        <v>642.07140416841071</v>
      </c>
    </row>
    <row r="28" spans="2:21" x14ac:dyDescent="0.25">
      <c r="B28" t="s">
        <v>28</v>
      </c>
      <c r="D28" t="s">
        <v>22</v>
      </c>
      <c r="F28" t="s">
        <v>17</v>
      </c>
      <c r="G28">
        <v>160</v>
      </c>
      <c r="H28">
        <v>160</v>
      </c>
      <c r="I28" t="s">
        <v>29</v>
      </c>
      <c r="J28" s="2">
        <v>45.602387285724582</v>
      </c>
      <c r="K28" s="3">
        <v>285.01492053577857</v>
      </c>
      <c r="L28" s="2">
        <v>0</v>
      </c>
      <c r="M28" s="3">
        <v>0</v>
      </c>
      <c r="N28" s="7">
        <v>47.11</v>
      </c>
      <c r="O28" s="4">
        <f t="shared" si="0"/>
        <v>294.4375</v>
      </c>
      <c r="P28" s="2">
        <f t="shared" si="1"/>
        <v>92.712387285724589</v>
      </c>
      <c r="Q28" s="3">
        <f t="shared" si="2"/>
        <v>579.45242053577874</v>
      </c>
      <c r="U28">
        <f t="shared" si="3"/>
        <v>642.07140416841071</v>
      </c>
    </row>
    <row r="29" spans="2:21" x14ac:dyDescent="0.25">
      <c r="B29" t="s">
        <v>49</v>
      </c>
      <c r="D29" t="s">
        <v>22</v>
      </c>
      <c r="F29" t="s">
        <v>24</v>
      </c>
      <c r="G29">
        <v>105.8</v>
      </c>
      <c r="H29">
        <v>105.8</v>
      </c>
      <c r="I29" t="s">
        <v>18</v>
      </c>
      <c r="J29" s="2">
        <v>3.1473114410937399</v>
      </c>
      <c r="K29" s="3">
        <v>29.747745189921929</v>
      </c>
      <c r="L29" s="2">
        <v>36.338000000000001</v>
      </c>
      <c r="M29" s="3">
        <v>343.45935727788282</v>
      </c>
      <c r="N29" s="7">
        <v>19.956</v>
      </c>
      <c r="O29" s="4">
        <f t="shared" si="0"/>
        <v>188.62003780718337</v>
      </c>
      <c r="P29" s="2">
        <f t="shared" si="1"/>
        <v>59.441311441093745</v>
      </c>
      <c r="Q29" s="3">
        <f t="shared" si="2"/>
        <v>561.8271402749881</v>
      </c>
      <c r="U29">
        <f t="shared" si="3"/>
        <v>642.07140416841071</v>
      </c>
    </row>
    <row r="30" spans="2:21" x14ac:dyDescent="0.25">
      <c r="B30" t="s">
        <v>83</v>
      </c>
      <c r="D30" t="s">
        <v>22</v>
      </c>
      <c r="F30" t="s">
        <v>24</v>
      </c>
      <c r="G30">
        <v>130</v>
      </c>
      <c r="H30">
        <v>130</v>
      </c>
      <c r="I30" t="s">
        <v>29</v>
      </c>
      <c r="J30" s="2">
        <v>49.108428475199091</v>
      </c>
      <c r="K30" s="3">
        <v>377.7571421169161</v>
      </c>
      <c r="L30" s="2">
        <v>0</v>
      </c>
      <c r="M30" s="3">
        <v>0</v>
      </c>
      <c r="N30" s="7">
        <v>23.29</v>
      </c>
      <c r="O30" s="4">
        <f t="shared" si="0"/>
        <v>179.15384615384613</v>
      </c>
      <c r="P30" s="2">
        <f t="shared" si="1"/>
        <v>72.398428475199097</v>
      </c>
      <c r="Q30" s="3">
        <f t="shared" si="2"/>
        <v>556.91098827076223</v>
      </c>
      <c r="U30">
        <f t="shared" si="3"/>
        <v>642.07140416841071</v>
      </c>
    </row>
    <row r="31" spans="2:21" x14ac:dyDescent="0.25">
      <c r="B31" t="s">
        <v>115</v>
      </c>
      <c r="D31" t="s">
        <v>22</v>
      </c>
      <c r="F31" t="s">
        <v>17</v>
      </c>
      <c r="G31">
        <v>135</v>
      </c>
      <c r="H31">
        <v>135</v>
      </c>
      <c r="I31" t="s">
        <v>18</v>
      </c>
      <c r="J31" s="2">
        <v>50.678069957242869</v>
      </c>
      <c r="K31" s="3">
        <v>375.39311079439159</v>
      </c>
      <c r="L31" s="2">
        <v>0</v>
      </c>
      <c r="M31" s="3">
        <v>0</v>
      </c>
      <c r="N31" s="7">
        <f>SUM(1.773, 15.733)</f>
        <v>17.506</v>
      </c>
      <c r="O31" s="4">
        <f t="shared" si="0"/>
        <v>129.67407407407407</v>
      </c>
      <c r="P31" s="2">
        <f t="shared" si="1"/>
        <v>68.184069957242869</v>
      </c>
      <c r="Q31" s="3">
        <f t="shared" si="2"/>
        <v>505.06718486846569</v>
      </c>
      <c r="R31" t="s">
        <v>162</v>
      </c>
      <c r="U31">
        <f t="shared" si="3"/>
        <v>642.07140416841071</v>
      </c>
    </row>
    <row r="32" spans="2:21" x14ac:dyDescent="0.25">
      <c r="B32" t="s">
        <v>127</v>
      </c>
      <c r="C32" t="s">
        <v>128</v>
      </c>
      <c r="D32" t="s">
        <v>22</v>
      </c>
      <c r="F32" t="s">
        <v>24</v>
      </c>
      <c r="G32">
        <v>200</v>
      </c>
      <c r="H32">
        <v>200</v>
      </c>
      <c r="I32" t="s">
        <v>29</v>
      </c>
      <c r="J32" s="2">
        <v>28.926321309283839</v>
      </c>
      <c r="K32" s="3">
        <v>144.63160654641919</v>
      </c>
      <c r="L32" s="2">
        <v>50.045999999999999</v>
      </c>
      <c r="M32" s="3">
        <v>250.23</v>
      </c>
      <c r="N32" s="7">
        <v>17.43</v>
      </c>
      <c r="O32" s="4">
        <f t="shared" si="0"/>
        <v>87.15</v>
      </c>
      <c r="P32" s="2">
        <f t="shared" si="1"/>
        <v>96.402321309283849</v>
      </c>
      <c r="Q32" s="3">
        <f t="shared" si="2"/>
        <v>482.01160654641922</v>
      </c>
      <c r="U32">
        <f t="shared" si="3"/>
        <v>642.07140416841071</v>
      </c>
    </row>
    <row r="33" spans="2:21" x14ac:dyDescent="0.25">
      <c r="B33" t="s">
        <v>149</v>
      </c>
      <c r="C33" t="s">
        <v>150</v>
      </c>
      <c r="D33" t="s">
        <v>22</v>
      </c>
      <c r="F33" t="s">
        <v>24</v>
      </c>
      <c r="G33">
        <v>200</v>
      </c>
      <c r="H33">
        <v>200</v>
      </c>
      <c r="I33" t="s">
        <v>29</v>
      </c>
      <c r="J33" s="2">
        <v>67.977816888725414</v>
      </c>
      <c r="K33" s="3">
        <v>339.8890844436271</v>
      </c>
      <c r="L33" s="2">
        <v>0</v>
      </c>
      <c r="M33" s="3">
        <v>0</v>
      </c>
      <c r="N33" s="7">
        <v>26.122</v>
      </c>
      <c r="O33" s="4">
        <f t="shared" si="0"/>
        <v>130.61000000000001</v>
      </c>
      <c r="P33" s="2">
        <f t="shared" si="1"/>
        <v>94.099816888725414</v>
      </c>
      <c r="Q33" s="3">
        <f t="shared" si="2"/>
        <v>470.49908444362711</v>
      </c>
      <c r="U33">
        <f t="shared" si="3"/>
        <v>642.07140416841071</v>
      </c>
    </row>
    <row r="34" spans="2:21" x14ac:dyDescent="0.25">
      <c r="B34" t="s">
        <v>140</v>
      </c>
      <c r="D34" t="s">
        <v>22</v>
      </c>
      <c r="F34" t="s">
        <v>24</v>
      </c>
      <c r="G34">
        <v>300</v>
      </c>
      <c r="H34">
        <v>300</v>
      </c>
      <c r="I34" t="s">
        <v>18</v>
      </c>
      <c r="J34" s="2">
        <v>100.340202362938</v>
      </c>
      <c r="K34" s="3">
        <v>334.46734120979329</v>
      </c>
      <c r="L34" s="2">
        <v>0</v>
      </c>
      <c r="M34" s="3">
        <v>0</v>
      </c>
      <c r="N34" s="7">
        <f>SUM(0.57, 37.91)</f>
        <v>38.479999999999997</v>
      </c>
      <c r="O34" s="4">
        <f t="shared" ref="O34:O56" si="4">(N34/G34)*1000</f>
        <v>128.26666666666668</v>
      </c>
      <c r="P34" s="2">
        <f t="shared" ref="P34:P56" si="5">SUM(J34,L34,N34)</f>
        <v>138.82020236293801</v>
      </c>
      <c r="Q34" s="3">
        <f t="shared" ref="Q34:Q56" si="6">(P34/G34)*1000</f>
        <v>462.73400787646</v>
      </c>
      <c r="R34" t="s">
        <v>162</v>
      </c>
      <c r="U34">
        <f t="shared" si="3"/>
        <v>642.07140416841071</v>
      </c>
    </row>
    <row r="35" spans="2:21" x14ac:dyDescent="0.25">
      <c r="B35" t="s">
        <v>27</v>
      </c>
      <c r="D35" t="s">
        <v>22</v>
      </c>
      <c r="F35" t="s">
        <v>17</v>
      </c>
      <c r="G35">
        <v>400</v>
      </c>
      <c r="H35">
        <v>400</v>
      </c>
      <c r="I35" t="s">
        <v>18</v>
      </c>
      <c r="J35" s="2">
        <v>131.99214537672759</v>
      </c>
      <c r="K35" s="3">
        <v>329.98036344181901</v>
      </c>
      <c r="L35" s="2">
        <v>0</v>
      </c>
      <c r="M35" s="3">
        <v>0</v>
      </c>
      <c r="N35" s="7">
        <v>47.11</v>
      </c>
      <c r="O35" s="4">
        <f t="shared" si="4"/>
        <v>117.77500000000001</v>
      </c>
      <c r="P35" s="2">
        <f t="shared" si="5"/>
        <v>179.10214537672761</v>
      </c>
      <c r="Q35" s="3">
        <f t="shared" si="6"/>
        <v>447.75536344181899</v>
      </c>
      <c r="U35">
        <f t="shared" si="3"/>
        <v>642.07140416841071</v>
      </c>
    </row>
    <row r="36" spans="2:21" x14ac:dyDescent="0.25">
      <c r="B36" t="s">
        <v>116</v>
      </c>
      <c r="D36" t="s">
        <v>22</v>
      </c>
      <c r="F36" t="s">
        <v>17</v>
      </c>
      <c r="G36">
        <v>80</v>
      </c>
      <c r="H36">
        <v>80</v>
      </c>
      <c r="I36" t="s">
        <v>18</v>
      </c>
      <c r="J36" s="2">
        <v>15.330739432924259</v>
      </c>
      <c r="K36" s="3">
        <v>191.63424291155329</v>
      </c>
      <c r="L36" s="2">
        <v>0</v>
      </c>
      <c r="M36" s="3">
        <v>0</v>
      </c>
      <c r="N36" s="7">
        <v>20.329999999999998</v>
      </c>
      <c r="O36" s="4">
        <f t="shared" si="4"/>
        <v>254.125</v>
      </c>
      <c r="P36" s="2">
        <f t="shared" si="5"/>
        <v>35.66073943292426</v>
      </c>
      <c r="Q36" s="3">
        <f t="shared" si="6"/>
        <v>445.7592429115532</v>
      </c>
      <c r="U36">
        <f t="shared" si="3"/>
        <v>642.07140416841071</v>
      </c>
    </row>
    <row r="37" spans="2:21" x14ac:dyDescent="0.25">
      <c r="B37" t="s">
        <v>26</v>
      </c>
      <c r="D37" t="s">
        <v>22</v>
      </c>
      <c r="F37" t="s">
        <v>17</v>
      </c>
      <c r="G37">
        <v>500</v>
      </c>
      <c r="H37">
        <v>500</v>
      </c>
      <c r="I37" t="s">
        <v>18</v>
      </c>
      <c r="J37" s="2">
        <v>165.1211084790589</v>
      </c>
      <c r="K37" s="3">
        <v>330.24221695811792</v>
      </c>
      <c r="L37" s="2">
        <v>0</v>
      </c>
      <c r="M37" s="3">
        <v>0</v>
      </c>
      <c r="N37" s="7">
        <v>47.11</v>
      </c>
      <c r="O37" s="4">
        <f t="shared" si="4"/>
        <v>94.22</v>
      </c>
      <c r="P37" s="2">
        <f t="shared" si="5"/>
        <v>212.23110847905889</v>
      </c>
      <c r="Q37" s="3">
        <f t="shared" si="6"/>
        <v>424.46221695811778</v>
      </c>
      <c r="U37">
        <f t="shared" si="3"/>
        <v>642.07140416841071</v>
      </c>
    </row>
    <row r="38" spans="2:21" x14ac:dyDescent="0.25">
      <c r="B38" t="s">
        <v>114</v>
      </c>
      <c r="D38" t="s">
        <v>22</v>
      </c>
      <c r="F38" t="s">
        <v>17</v>
      </c>
      <c r="G38">
        <v>140</v>
      </c>
      <c r="H38">
        <v>140</v>
      </c>
      <c r="I38" t="s">
        <v>18</v>
      </c>
      <c r="J38" s="2">
        <v>33.730837058487637</v>
      </c>
      <c r="K38" s="3">
        <v>240.93455041776889</v>
      </c>
      <c r="L38" s="2">
        <v>0</v>
      </c>
      <c r="M38" s="3">
        <v>0</v>
      </c>
      <c r="N38" s="7">
        <v>25.016999999999999</v>
      </c>
      <c r="O38" s="4">
        <f t="shared" si="4"/>
        <v>178.69285714285712</v>
      </c>
      <c r="P38" s="2">
        <f t="shared" si="5"/>
        <v>58.747837058487633</v>
      </c>
      <c r="Q38" s="3">
        <f t="shared" si="6"/>
        <v>419.62740756062595</v>
      </c>
      <c r="U38">
        <f t="shared" si="3"/>
        <v>642.07140416841071</v>
      </c>
    </row>
    <row r="39" spans="2:21" x14ac:dyDescent="0.25">
      <c r="B39" t="s">
        <v>99</v>
      </c>
      <c r="D39" t="s">
        <v>22</v>
      </c>
      <c r="F39" t="s">
        <v>17</v>
      </c>
      <c r="G39">
        <v>140</v>
      </c>
      <c r="H39">
        <v>140</v>
      </c>
      <c r="I39" t="s">
        <v>18</v>
      </c>
      <c r="J39" s="2">
        <v>31.062857521034939</v>
      </c>
      <c r="K39" s="3">
        <v>221.87755372167811</v>
      </c>
      <c r="L39" s="2">
        <v>0</v>
      </c>
      <c r="M39" s="3">
        <v>0</v>
      </c>
      <c r="N39" s="7">
        <f>SUM(20, 0.58)</f>
        <v>20.58</v>
      </c>
      <c r="O39" s="4">
        <f t="shared" si="4"/>
        <v>147</v>
      </c>
      <c r="P39" s="2">
        <f t="shared" si="5"/>
        <v>51.642857521034941</v>
      </c>
      <c r="Q39" s="3">
        <f t="shared" si="6"/>
        <v>368.87755372167811</v>
      </c>
      <c r="R39" t="s">
        <v>162</v>
      </c>
      <c r="U39">
        <f t="shared" si="3"/>
        <v>642.07140416841071</v>
      </c>
    </row>
    <row r="40" spans="2:21" x14ac:dyDescent="0.25">
      <c r="B40" t="s">
        <v>74</v>
      </c>
      <c r="D40" t="s">
        <v>22</v>
      </c>
      <c r="F40" t="s">
        <v>17</v>
      </c>
      <c r="G40">
        <v>170</v>
      </c>
      <c r="H40">
        <v>170</v>
      </c>
      <c r="I40" t="s">
        <v>18</v>
      </c>
      <c r="J40" s="2">
        <v>30.586006092358371</v>
      </c>
      <c r="K40" s="3">
        <v>179.9176828962257</v>
      </c>
      <c r="L40" s="2">
        <v>0</v>
      </c>
      <c r="M40" s="3">
        <v>0</v>
      </c>
      <c r="N40" s="7">
        <v>27.17</v>
      </c>
      <c r="O40" s="4">
        <f t="shared" si="4"/>
        <v>159.82352941176472</v>
      </c>
      <c r="P40" s="2">
        <f t="shared" si="5"/>
        <v>57.756006092358376</v>
      </c>
      <c r="Q40" s="3">
        <f t="shared" si="6"/>
        <v>339.74121230799045</v>
      </c>
      <c r="U40">
        <f t="shared" si="3"/>
        <v>642.07140416841071</v>
      </c>
    </row>
    <row r="41" spans="2:21" x14ac:dyDescent="0.25">
      <c r="B41" t="s">
        <v>121</v>
      </c>
      <c r="D41" t="s">
        <v>22</v>
      </c>
      <c r="F41" t="s">
        <v>24</v>
      </c>
      <c r="G41">
        <v>100</v>
      </c>
      <c r="H41">
        <v>100</v>
      </c>
      <c r="I41" t="s">
        <v>18</v>
      </c>
      <c r="J41" s="2">
        <v>4.8274615323923582</v>
      </c>
      <c r="K41" s="3">
        <v>48.274615323923577</v>
      </c>
      <c r="L41" s="2">
        <v>0</v>
      </c>
      <c r="M41" s="3">
        <v>0</v>
      </c>
      <c r="N41" s="7">
        <v>28.41</v>
      </c>
      <c r="O41" s="4">
        <f t="shared" si="4"/>
        <v>284.10000000000002</v>
      </c>
      <c r="P41" s="2">
        <f t="shared" si="5"/>
        <v>33.237461532392359</v>
      </c>
      <c r="Q41" s="3">
        <f t="shared" si="6"/>
        <v>332.37461532392359</v>
      </c>
      <c r="U41">
        <f t="shared" si="3"/>
        <v>642.07140416841071</v>
      </c>
    </row>
    <row r="42" spans="2:21" x14ac:dyDescent="0.25">
      <c r="B42" t="s">
        <v>107</v>
      </c>
      <c r="D42" t="s">
        <v>22</v>
      </c>
      <c r="F42" t="s">
        <v>24</v>
      </c>
      <c r="G42">
        <v>100</v>
      </c>
      <c r="H42">
        <v>100</v>
      </c>
      <c r="I42" t="s">
        <v>18</v>
      </c>
      <c r="J42" s="2">
        <v>0</v>
      </c>
      <c r="K42" s="3">
        <v>0</v>
      </c>
      <c r="L42" s="2">
        <v>16.509</v>
      </c>
      <c r="M42" s="3">
        <v>165.09</v>
      </c>
      <c r="N42" s="7">
        <v>16.559999999999999</v>
      </c>
      <c r="O42" s="4">
        <f t="shared" si="4"/>
        <v>165.6</v>
      </c>
      <c r="P42" s="2">
        <f t="shared" si="5"/>
        <v>33.069000000000003</v>
      </c>
      <c r="Q42" s="3">
        <f t="shared" si="6"/>
        <v>330.69000000000005</v>
      </c>
      <c r="U42">
        <f t="shared" si="3"/>
        <v>642.07140416841071</v>
      </c>
    </row>
    <row r="43" spans="2:21" x14ac:dyDescent="0.25">
      <c r="B43" t="s">
        <v>38</v>
      </c>
      <c r="D43" t="s">
        <v>22</v>
      </c>
      <c r="F43" t="s">
        <v>17</v>
      </c>
      <c r="G43">
        <v>300</v>
      </c>
      <c r="H43">
        <v>300</v>
      </c>
      <c r="I43" t="s">
        <v>18</v>
      </c>
      <c r="J43" s="2">
        <v>48.519668577846467</v>
      </c>
      <c r="K43" s="3">
        <v>161.73222859282151</v>
      </c>
      <c r="L43" s="2">
        <v>0</v>
      </c>
      <c r="M43" s="3">
        <v>0</v>
      </c>
      <c r="N43" s="7">
        <v>46.32</v>
      </c>
      <c r="O43" s="4">
        <f t="shared" si="4"/>
        <v>154.4</v>
      </c>
      <c r="P43" s="2">
        <f t="shared" si="5"/>
        <v>94.839668577846467</v>
      </c>
      <c r="Q43" s="3">
        <f t="shared" si="6"/>
        <v>316.1322285928216</v>
      </c>
      <c r="U43">
        <f t="shared" si="3"/>
        <v>642.07140416841071</v>
      </c>
    </row>
    <row r="44" spans="2:21" x14ac:dyDescent="0.25">
      <c r="B44" t="s">
        <v>23</v>
      </c>
      <c r="D44" t="s">
        <v>22</v>
      </c>
      <c r="F44" t="s">
        <v>24</v>
      </c>
      <c r="G44">
        <v>200</v>
      </c>
      <c r="H44">
        <v>200</v>
      </c>
      <c r="I44" t="s">
        <v>18</v>
      </c>
      <c r="J44" s="2">
        <v>0</v>
      </c>
      <c r="K44" s="3">
        <v>0</v>
      </c>
      <c r="L44" s="2">
        <v>38.131</v>
      </c>
      <c r="M44" s="3">
        <v>190.655</v>
      </c>
      <c r="N44" s="7">
        <v>22.78</v>
      </c>
      <c r="O44" s="4">
        <f t="shared" si="4"/>
        <v>113.9</v>
      </c>
      <c r="P44" s="2">
        <f t="shared" si="5"/>
        <v>60.911000000000001</v>
      </c>
      <c r="Q44" s="3">
        <f t="shared" si="6"/>
        <v>304.55500000000001</v>
      </c>
      <c r="U44">
        <f t="shared" si="3"/>
        <v>642.07140416841071</v>
      </c>
    </row>
    <row r="45" spans="2:21" x14ac:dyDescent="0.25">
      <c r="B45" t="s">
        <v>21</v>
      </c>
      <c r="D45" t="s">
        <v>22</v>
      </c>
      <c r="F45" t="s">
        <v>17</v>
      </c>
      <c r="G45">
        <v>115.5</v>
      </c>
      <c r="H45">
        <v>115.5</v>
      </c>
      <c r="I45" t="s">
        <v>18</v>
      </c>
      <c r="J45" s="2">
        <v>15.21424988828802</v>
      </c>
      <c r="K45" s="3">
        <v>131.72510725790491</v>
      </c>
      <c r="L45" s="2">
        <v>0</v>
      </c>
      <c r="M45" s="3">
        <v>0</v>
      </c>
      <c r="N45" s="7">
        <v>18.95</v>
      </c>
      <c r="O45" s="4">
        <f t="shared" si="4"/>
        <v>164.06926406926405</v>
      </c>
      <c r="P45" s="2">
        <f t="shared" si="5"/>
        <v>34.164249888288019</v>
      </c>
      <c r="Q45" s="3">
        <f t="shared" si="6"/>
        <v>295.79437132716902</v>
      </c>
      <c r="U45">
        <f t="shared" si="3"/>
        <v>642.07140416841071</v>
      </c>
    </row>
    <row r="46" spans="2:21" x14ac:dyDescent="0.25">
      <c r="B46" t="s">
        <v>138</v>
      </c>
      <c r="D46" t="s">
        <v>22</v>
      </c>
      <c r="F46" t="s">
        <v>24</v>
      </c>
      <c r="G46">
        <v>200</v>
      </c>
      <c r="H46">
        <v>200</v>
      </c>
      <c r="I46" t="s">
        <v>29</v>
      </c>
      <c r="J46" s="2">
        <v>48.220911358056028</v>
      </c>
      <c r="K46" s="3">
        <v>241.10455679028021</v>
      </c>
      <c r="L46" s="2">
        <v>0</v>
      </c>
      <c r="M46" s="3">
        <v>0</v>
      </c>
      <c r="N46" s="7">
        <v>6.39</v>
      </c>
      <c r="O46" s="4">
        <f t="shared" si="4"/>
        <v>31.95</v>
      </c>
      <c r="P46" s="2">
        <f t="shared" si="5"/>
        <v>54.610911358056029</v>
      </c>
      <c r="Q46" s="3">
        <f t="shared" si="6"/>
        <v>273.05455679028012</v>
      </c>
      <c r="U46">
        <f t="shared" si="3"/>
        <v>642.07140416841071</v>
      </c>
    </row>
    <row r="47" spans="2:21" x14ac:dyDescent="0.25">
      <c r="B47" t="s">
        <v>69</v>
      </c>
      <c r="D47" t="s">
        <v>22</v>
      </c>
      <c r="F47" t="s">
        <v>17</v>
      </c>
      <c r="G47">
        <v>197.5</v>
      </c>
      <c r="H47">
        <v>197.5</v>
      </c>
      <c r="I47" t="s">
        <v>18</v>
      </c>
      <c r="J47" s="2">
        <v>16.39016945680774</v>
      </c>
      <c r="K47" s="3">
        <v>82.988199781305013</v>
      </c>
      <c r="L47" s="2">
        <v>0</v>
      </c>
      <c r="M47" s="3">
        <v>0</v>
      </c>
      <c r="N47" s="7">
        <v>36.630000000000003</v>
      </c>
      <c r="O47" s="4">
        <f t="shared" si="4"/>
        <v>185.46835443037975</v>
      </c>
      <c r="P47" s="2">
        <f t="shared" si="5"/>
        <v>53.020169456807743</v>
      </c>
      <c r="Q47" s="3">
        <f t="shared" si="6"/>
        <v>268.45655421168482</v>
      </c>
      <c r="U47">
        <f t="shared" si="3"/>
        <v>642.07140416841071</v>
      </c>
    </row>
    <row r="48" spans="2:21" x14ac:dyDescent="0.25">
      <c r="B48" t="s">
        <v>56</v>
      </c>
      <c r="D48" t="s">
        <v>22</v>
      </c>
      <c r="F48" t="s">
        <v>24</v>
      </c>
      <c r="G48">
        <v>500</v>
      </c>
      <c r="H48">
        <v>500</v>
      </c>
      <c r="I48" t="s">
        <v>18</v>
      </c>
      <c r="J48" s="2">
        <v>0.63210618534431029</v>
      </c>
      <c r="K48" s="3">
        <v>1.264212370688621</v>
      </c>
      <c r="L48" s="2">
        <v>130.239</v>
      </c>
      <c r="M48" s="3">
        <v>260.47800000000001</v>
      </c>
      <c r="N48" s="7">
        <v>0.59</v>
      </c>
      <c r="O48" s="4">
        <f t="shared" si="4"/>
        <v>1.18</v>
      </c>
      <c r="P48" s="2">
        <f t="shared" si="5"/>
        <v>131.46110618534431</v>
      </c>
      <c r="Q48" s="3">
        <f t="shared" si="6"/>
        <v>262.92221237068861</v>
      </c>
      <c r="U48">
        <f t="shared" si="3"/>
        <v>642.07140416841071</v>
      </c>
    </row>
    <row r="49" spans="2:21" x14ac:dyDescent="0.25">
      <c r="B49" t="s">
        <v>68</v>
      </c>
      <c r="D49" t="s">
        <v>22</v>
      </c>
      <c r="F49" t="s">
        <v>24</v>
      </c>
      <c r="G49">
        <v>100</v>
      </c>
      <c r="H49">
        <v>100</v>
      </c>
      <c r="I49" t="s">
        <v>18</v>
      </c>
      <c r="J49" s="2">
        <v>25.45384757831652</v>
      </c>
      <c r="K49" s="3">
        <v>254.53847578316521</v>
      </c>
      <c r="L49" s="2">
        <v>0</v>
      </c>
      <c r="M49" s="3">
        <v>0</v>
      </c>
      <c r="N49" s="7">
        <v>0.51</v>
      </c>
      <c r="O49" s="4">
        <f t="shared" si="4"/>
        <v>5.1000000000000005</v>
      </c>
      <c r="P49" s="2">
        <f t="shared" si="5"/>
        <v>25.963847578316521</v>
      </c>
      <c r="Q49" s="3">
        <f t="shared" si="6"/>
        <v>259.63847578316523</v>
      </c>
      <c r="U49">
        <f t="shared" si="3"/>
        <v>642.07140416841071</v>
      </c>
    </row>
    <row r="50" spans="2:21" x14ac:dyDescent="0.25">
      <c r="B50" t="s">
        <v>36</v>
      </c>
      <c r="D50" t="s">
        <v>22</v>
      </c>
      <c r="F50" t="s">
        <v>17</v>
      </c>
      <c r="G50">
        <v>600</v>
      </c>
      <c r="H50">
        <v>600</v>
      </c>
      <c r="I50" t="s">
        <v>18</v>
      </c>
      <c r="J50" s="2">
        <v>98.942852827240714</v>
      </c>
      <c r="K50" s="3">
        <v>164.9047547120679</v>
      </c>
      <c r="L50" s="2">
        <v>0</v>
      </c>
      <c r="M50" s="3">
        <v>0</v>
      </c>
      <c r="N50" s="7">
        <v>46.32</v>
      </c>
      <c r="O50" s="4">
        <f t="shared" si="4"/>
        <v>77.2</v>
      </c>
      <c r="P50" s="2">
        <f t="shared" si="5"/>
        <v>145.26285282724072</v>
      </c>
      <c r="Q50" s="3">
        <f t="shared" si="6"/>
        <v>242.10475471206786</v>
      </c>
      <c r="U50">
        <f t="shared" si="3"/>
        <v>642.07140416841071</v>
      </c>
    </row>
    <row r="51" spans="2:21" x14ac:dyDescent="0.25">
      <c r="B51" t="s">
        <v>40</v>
      </c>
      <c r="D51" t="s">
        <v>22</v>
      </c>
      <c r="F51" t="s">
        <v>17</v>
      </c>
      <c r="G51">
        <v>250</v>
      </c>
      <c r="H51">
        <v>250</v>
      </c>
      <c r="I51" t="s">
        <v>18</v>
      </c>
      <c r="J51" s="2">
        <v>31.637012048278269</v>
      </c>
      <c r="K51" s="3">
        <v>126.5480481931131</v>
      </c>
      <c r="L51" s="2">
        <v>0</v>
      </c>
      <c r="M51" s="3">
        <v>0</v>
      </c>
      <c r="N51" s="7">
        <v>18.61</v>
      </c>
      <c r="O51" s="4">
        <f t="shared" si="4"/>
        <v>74.44</v>
      </c>
      <c r="P51" s="2">
        <f t="shared" si="5"/>
        <v>50.247012048278265</v>
      </c>
      <c r="Q51" s="3">
        <f t="shared" si="6"/>
        <v>200.98804819311306</v>
      </c>
      <c r="U51">
        <f t="shared" si="3"/>
        <v>642.07140416841071</v>
      </c>
    </row>
    <row r="52" spans="2:21" x14ac:dyDescent="0.25">
      <c r="B52" t="s">
        <v>120</v>
      </c>
      <c r="D52" t="s">
        <v>22</v>
      </c>
      <c r="F52" t="s">
        <v>24</v>
      </c>
      <c r="G52">
        <v>450</v>
      </c>
      <c r="H52">
        <v>450</v>
      </c>
      <c r="I52" t="s">
        <v>29</v>
      </c>
      <c r="J52" s="2">
        <v>34.621179775530393</v>
      </c>
      <c r="K52" s="3">
        <v>76.935955056734201</v>
      </c>
      <c r="L52" s="2">
        <v>0</v>
      </c>
      <c r="M52" s="3">
        <v>0</v>
      </c>
      <c r="N52" s="7">
        <v>35.5</v>
      </c>
      <c r="O52" s="4">
        <f t="shared" si="4"/>
        <v>78.888888888888886</v>
      </c>
      <c r="P52" s="2">
        <f t="shared" si="5"/>
        <v>70.121179775530393</v>
      </c>
      <c r="Q52" s="3">
        <f t="shared" si="6"/>
        <v>155.82484394562309</v>
      </c>
      <c r="U52">
        <f t="shared" si="3"/>
        <v>642.07140416841071</v>
      </c>
    </row>
    <row r="53" spans="2:21" x14ac:dyDescent="0.25">
      <c r="B53" t="s">
        <v>32</v>
      </c>
      <c r="D53" t="s">
        <v>22</v>
      </c>
      <c r="F53" t="s">
        <v>17</v>
      </c>
      <c r="G53">
        <v>175</v>
      </c>
      <c r="H53">
        <v>175</v>
      </c>
      <c r="I53" t="s">
        <v>33</v>
      </c>
      <c r="J53" s="2">
        <v>1.48826775836826</v>
      </c>
      <c r="K53" s="3">
        <v>8.5043871906757698</v>
      </c>
      <c r="L53" s="2">
        <v>0</v>
      </c>
      <c r="M53" s="3">
        <v>0</v>
      </c>
      <c r="N53" s="7">
        <v>24.82</v>
      </c>
      <c r="O53" s="4">
        <f t="shared" si="4"/>
        <v>141.82857142857145</v>
      </c>
      <c r="P53" s="2">
        <f t="shared" si="5"/>
        <v>26.30826775836826</v>
      </c>
      <c r="Q53" s="3">
        <f t="shared" si="6"/>
        <v>150.33295861924719</v>
      </c>
      <c r="U53">
        <f t="shared" si="3"/>
        <v>642.07140416841071</v>
      </c>
    </row>
    <row r="54" spans="2:21" x14ac:dyDescent="0.25">
      <c r="B54" t="s">
        <v>37</v>
      </c>
      <c r="D54" t="s">
        <v>22</v>
      </c>
      <c r="F54" t="s">
        <v>17</v>
      </c>
      <c r="G54">
        <v>550</v>
      </c>
      <c r="H54">
        <v>550</v>
      </c>
      <c r="I54" t="s">
        <v>18</v>
      </c>
      <c r="J54" s="2">
        <v>35.880274947154341</v>
      </c>
      <c r="K54" s="3">
        <v>65.236863540280623</v>
      </c>
      <c r="L54" s="2">
        <v>0</v>
      </c>
      <c r="M54" s="3">
        <v>0</v>
      </c>
      <c r="N54" s="7">
        <v>44.87</v>
      </c>
      <c r="O54" s="4">
        <f t="shared" si="4"/>
        <v>81.581818181818178</v>
      </c>
      <c r="P54" s="2">
        <f t="shared" si="5"/>
        <v>80.750274947154338</v>
      </c>
      <c r="Q54" s="3">
        <f t="shared" si="6"/>
        <v>146.8186817220988</v>
      </c>
      <c r="U54">
        <f t="shared" si="3"/>
        <v>642.07140416841071</v>
      </c>
    </row>
    <row r="55" spans="2:21" x14ac:dyDescent="0.25">
      <c r="B55" t="s">
        <v>91</v>
      </c>
      <c r="D55" t="s">
        <v>22</v>
      </c>
      <c r="F55" t="s">
        <v>24</v>
      </c>
      <c r="G55">
        <v>70</v>
      </c>
      <c r="H55">
        <v>70</v>
      </c>
      <c r="I55" t="s">
        <v>29</v>
      </c>
      <c r="J55" s="2">
        <v>0</v>
      </c>
      <c r="K55" s="3">
        <v>0</v>
      </c>
      <c r="L55" s="2">
        <v>0</v>
      </c>
      <c r="M55" s="3">
        <v>0</v>
      </c>
      <c r="N55" s="7">
        <v>3.298</v>
      </c>
      <c r="O55" s="4">
        <f t="shared" si="4"/>
        <v>47.114285714285714</v>
      </c>
      <c r="P55" s="2">
        <f t="shared" si="5"/>
        <v>3.298</v>
      </c>
      <c r="Q55" s="3">
        <f t="shared" si="6"/>
        <v>47.114285714285714</v>
      </c>
      <c r="U55">
        <f t="shared" si="3"/>
        <v>642.07140416841071</v>
      </c>
    </row>
    <row r="56" spans="2:21" x14ac:dyDescent="0.25">
      <c r="B56" t="s">
        <v>50</v>
      </c>
      <c r="D56" t="s">
        <v>22</v>
      </c>
      <c r="F56" t="s">
        <v>17</v>
      </c>
      <c r="G56">
        <v>200</v>
      </c>
      <c r="H56">
        <v>200</v>
      </c>
      <c r="I56" t="s">
        <v>33</v>
      </c>
      <c r="J56" s="2">
        <v>2.0951953536253729</v>
      </c>
      <c r="K56" s="3">
        <v>10.475976768126859</v>
      </c>
      <c r="L56" s="2">
        <v>0</v>
      </c>
      <c r="M56" s="3">
        <v>0</v>
      </c>
      <c r="N56" s="7">
        <v>0.54</v>
      </c>
      <c r="O56" s="4">
        <f t="shared" si="4"/>
        <v>2.7</v>
      </c>
      <c r="P56" s="2">
        <f t="shared" si="5"/>
        <v>2.6351953536253729</v>
      </c>
      <c r="Q56" s="3">
        <f t="shared" si="6"/>
        <v>13.175976768126866</v>
      </c>
      <c r="U56">
        <f t="shared" si="3"/>
        <v>642.07140416841071</v>
      </c>
    </row>
  </sheetData>
  <autoFilter ref="A1:R1" xr:uid="{00000000-0001-0000-0300-000000000000}">
    <sortState xmlns:xlrd2="http://schemas.microsoft.com/office/spreadsheetml/2017/richdata2" ref="A2:R56">
      <sortCondition descending="1" ref="Q1"/>
    </sortState>
  </autoFilter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6"/>
  <sheetViews>
    <sheetView workbookViewId="0">
      <pane ySplit="1" topLeftCell="A26" activePane="bottomLeft" state="frozen"/>
      <selection pane="bottomLeft" activeCell="Z57" sqref="Z57"/>
    </sheetView>
  </sheetViews>
  <sheetFormatPr defaultRowHeight="15" x14ac:dyDescent="0.25"/>
  <cols>
    <col min="14" max="14" width="15.5703125" customWidth="1"/>
    <col min="15" max="15" width="15.42578125" customWidth="1"/>
    <col min="17" max="17" width="9.42578125" customWidth="1"/>
  </cols>
  <sheetData>
    <row r="1" spans="1:23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156</v>
      </c>
      <c r="O1" s="5" t="s">
        <v>157</v>
      </c>
      <c r="P1" s="1" t="s">
        <v>13</v>
      </c>
      <c r="Q1" s="1" t="s">
        <v>14</v>
      </c>
      <c r="R1" s="1" t="s">
        <v>159</v>
      </c>
      <c r="W1" t="s">
        <v>16</v>
      </c>
    </row>
    <row r="2" spans="1:23" x14ac:dyDescent="0.25">
      <c r="B2" t="s">
        <v>101</v>
      </c>
      <c r="C2" t="s">
        <v>102</v>
      </c>
      <c r="D2" t="s">
        <v>16</v>
      </c>
      <c r="F2" t="s">
        <v>17</v>
      </c>
      <c r="G2">
        <v>450</v>
      </c>
      <c r="H2">
        <v>450</v>
      </c>
      <c r="I2" t="s">
        <v>29</v>
      </c>
      <c r="J2" s="2">
        <v>1106.860924391827</v>
      </c>
      <c r="K2" s="3">
        <v>2459.6909430929481</v>
      </c>
      <c r="L2" s="2">
        <v>0</v>
      </c>
      <c r="M2" s="3">
        <v>0</v>
      </c>
      <c r="N2" s="7">
        <v>40.65</v>
      </c>
      <c r="O2" s="4">
        <f t="shared" ref="O2:O36" si="0">(N2/G2)*1000</f>
        <v>90.333333333333329</v>
      </c>
      <c r="P2" s="2">
        <f t="shared" ref="P2:P36" si="1">SUM(J2,L2,N2)</f>
        <v>1147.5109243918271</v>
      </c>
      <c r="Q2" s="3">
        <f t="shared" ref="Q2:Q36" si="2">(P2/G2)*1000</f>
        <v>2550.0242764262825</v>
      </c>
      <c r="W2">
        <f t="shared" ref="W2:W36" si="3">AVERAGEIF($D$2:$D$122, "LA", $Q$2:$Q$122)</f>
        <v>685.01838628141309</v>
      </c>
    </row>
    <row r="3" spans="1:23" x14ac:dyDescent="0.25">
      <c r="B3" t="s">
        <v>66</v>
      </c>
      <c r="D3" t="s">
        <v>16</v>
      </c>
      <c r="F3" t="s">
        <v>24</v>
      </c>
      <c r="G3">
        <v>180</v>
      </c>
      <c r="H3">
        <v>180</v>
      </c>
      <c r="I3" t="s">
        <v>18</v>
      </c>
      <c r="J3" s="2">
        <v>129.05462238966979</v>
      </c>
      <c r="K3" s="3">
        <v>716.9701243870544</v>
      </c>
      <c r="L3" s="2">
        <v>81.000999999999991</v>
      </c>
      <c r="M3" s="3">
        <v>450.00555555555547</v>
      </c>
      <c r="N3" s="7">
        <v>147.892</v>
      </c>
      <c r="O3" s="4">
        <f t="shared" si="0"/>
        <v>821.62222222222226</v>
      </c>
      <c r="P3" s="2">
        <f t="shared" si="1"/>
        <v>357.94762238966979</v>
      </c>
      <c r="Q3" s="3">
        <f t="shared" si="2"/>
        <v>1988.597902164832</v>
      </c>
      <c r="W3">
        <f t="shared" si="3"/>
        <v>685.01838628141309</v>
      </c>
    </row>
    <row r="4" spans="1:23" x14ac:dyDescent="0.25">
      <c r="B4" t="s">
        <v>136</v>
      </c>
      <c r="D4" t="s">
        <v>16</v>
      </c>
      <c r="F4" t="s">
        <v>24</v>
      </c>
      <c r="G4">
        <v>160</v>
      </c>
      <c r="H4">
        <v>160</v>
      </c>
      <c r="I4" t="s">
        <v>29</v>
      </c>
      <c r="J4" s="2">
        <v>83.545429185595225</v>
      </c>
      <c r="K4" s="3">
        <v>522.15893240997013</v>
      </c>
      <c r="L4" s="2">
        <v>121.43600000000001</v>
      </c>
      <c r="M4" s="3">
        <v>758.9749999999998</v>
      </c>
      <c r="N4" s="7">
        <v>3.4197120000000001</v>
      </c>
      <c r="O4" s="4">
        <f t="shared" si="0"/>
        <v>21.373200000000001</v>
      </c>
      <c r="P4" s="2">
        <f t="shared" si="1"/>
        <v>208.40114118559524</v>
      </c>
      <c r="Q4" s="3">
        <f t="shared" si="2"/>
        <v>1302.5071324099702</v>
      </c>
      <c r="W4">
        <f t="shared" si="3"/>
        <v>685.01838628141309</v>
      </c>
    </row>
    <row r="5" spans="1:23" x14ac:dyDescent="0.25">
      <c r="B5" t="s">
        <v>109</v>
      </c>
      <c r="D5" t="s">
        <v>16</v>
      </c>
      <c r="F5" t="s">
        <v>24</v>
      </c>
      <c r="G5">
        <v>100</v>
      </c>
      <c r="H5">
        <v>100</v>
      </c>
      <c r="I5" t="s">
        <v>29</v>
      </c>
      <c r="J5" s="2">
        <v>48.985477624026878</v>
      </c>
      <c r="K5" s="3">
        <v>489.85477624026879</v>
      </c>
      <c r="L5" s="2">
        <v>75.911999999999978</v>
      </c>
      <c r="M5" s="3">
        <v>759.11999999999978</v>
      </c>
      <c r="N5" s="7">
        <v>3.5724049999999998</v>
      </c>
      <c r="O5" s="4">
        <f t="shared" si="0"/>
        <v>35.724049999999998</v>
      </c>
      <c r="P5" s="2">
        <f t="shared" si="1"/>
        <v>128.46988262402687</v>
      </c>
      <c r="Q5" s="3">
        <f t="shared" si="2"/>
        <v>1284.6988262402688</v>
      </c>
      <c r="W5">
        <f t="shared" si="3"/>
        <v>685.01838628141309</v>
      </c>
    </row>
    <row r="6" spans="1:23" x14ac:dyDescent="0.25">
      <c r="B6" t="s">
        <v>130</v>
      </c>
      <c r="D6" t="s">
        <v>16</v>
      </c>
      <c r="F6" t="s">
        <v>24</v>
      </c>
      <c r="G6">
        <v>135</v>
      </c>
      <c r="H6">
        <v>135</v>
      </c>
      <c r="I6" t="s">
        <v>29</v>
      </c>
      <c r="J6" s="2">
        <v>69.865264423955352</v>
      </c>
      <c r="K6" s="3">
        <v>517.52047721448412</v>
      </c>
      <c r="L6" s="2">
        <v>57.991999999999997</v>
      </c>
      <c r="M6" s="3">
        <v>429.57037037037043</v>
      </c>
      <c r="N6" s="7">
        <v>20.92</v>
      </c>
      <c r="O6" s="4">
        <f t="shared" si="0"/>
        <v>154.96296296296296</v>
      </c>
      <c r="P6" s="2">
        <f t="shared" si="1"/>
        <v>148.77726442395533</v>
      </c>
      <c r="Q6" s="3">
        <f t="shared" si="2"/>
        <v>1102.0538105478172</v>
      </c>
      <c r="W6">
        <f t="shared" si="3"/>
        <v>685.01838628141309</v>
      </c>
    </row>
    <row r="7" spans="1:23" x14ac:dyDescent="0.25">
      <c r="B7" t="s">
        <v>41</v>
      </c>
      <c r="D7" t="s">
        <v>16</v>
      </c>
      <c r="F7" t="s">
        <v>17</v>
      </c>
      <c r="G7">
        <v>200</v>
      </c>
      <c r="H7">
        <v>200</v>
      </c>
      <c r="I7" t="s">
        <v>18</v>
      </c>
      <c r="J7" s="2">
        <v>142.92468641615571</v>
      </c>
      <c r="K7" s="3">
        <v>714.62343208077868</v>
      </c>
      <c r="L7" s="2">
        <v>0</v>
      </c>
      <c r="M7" s="3">
        <v>0</v>
      </c>
      <c r="N7" s="7">
        <v>60.673999999999999</v>
      </c>
      <c r="O7" s="4">
        <f t="shared" si="0"/>
        <v>303.36999999999995</v>
      </c>
      <c r="P7" s="2">
        <f t="shared" si="1"/>
        <v>203.59868641615572</v>
      </c>
      <c r="Q7" s="3">
        <f t="shared" si="2"/>
        <v>1017.9934320807787</v>
      </c>
      <c r="W7">
        <f t="shared" si="3"/>
        <v>685.01838628141309</v>
      </c>
    </row>
    <row r="8" spans="1:23" x14ac:dyDescent="0.25">
      <c r="B8" t="s">
        <v>59</v>
      </c>
      <c r="D8" t="s">
        <v>16</v>
      </c>
      <c r="F8" t="s">
        <v>24</v>
      </c>
      <c r="G8">
        <v>500</v>
      </c>
      <c r="H8">
        <v>500</v>
      </c>
      <c r="I8" t="s">
        <v>18</v>
      </c>
      <c r="J8" s="2">
        <v>327.89455696682899</v>
      </c>
      <c r="K8" s="3">
        <v>655.78911393365809</v>
      </c>
      <c r="L8" s="2">
        <v>103.25700000000001</v>
      </c>
      <c r="M8" s="3">
        <v>206.51400000000001</v>
      </c>
      <c r="N8" s="7">
        <v>7.86</v>
      </c>
      <c r="O8" s="4">
        <f t="shared" si="0"/>
        <v>15.72</v>
      </c>
      <c r="P8" s="2">
        <f t="shared" si="1"/>
        <v>439.011556966829</v>
      </c>
      <c r="Q8" s="3">
        <f t="shared" si="2"/>
        <v>878.02311393365801</v>
      </c>
      <c r="W8">
        <f t="shared" si="3"/>
        <v>685.01838628141309</v>
      </c>
    </row>
    <row r="9" spans="1:23" x14ac:dyDescent="0.25">
      <c r="B9" t="s">
        <v>58</v>
      </c>
      <c r="D9" t="s">
        <v>16</v>
      </c>
      <c r="F9" t="s">
        <v>24</v>
      </c>
      <c r="G9">
        <v>500</v>
      </c>
      <c r="H9">
        <v>500</v>
      </c>
      <c r="I9" t="s">
        <v>18</v>
      </c>
      <c r="J9" s="2">
        <v>327.75901115291992</v>
      </c>
      <c r="K9" s="3">
        <v>655.51802230583974</v>
      </c>
      <c r="L9" s="2">
        <v>103.25700000000001</v>
      </c>
      <c r="M9" s="3">
        <v>206.51400000000001</v>
      </c>
      <c r="N9" s="7">
        <v>7.86</v>
      </c>
      <c r="O9" s="4">
        <f t="shared" si="0"/>
        <v>15.72</v>
      </c>
      <c r="P9" s="2">
        <f t="shared" si="1"/>
        <v>438.87601115291994</v>
      </c>
      <c r="Q9" s="3">
        <f t="shared" si="2"/>
        <v>877.75202230583989</v>
      </c>
      <c r="W9">
        <f t="shared" si="3"/>
        <v>685.01838628141309</v>
      </c>
    </row>
    <row r="10" spans="1:23" x14ac:dyDescent="0.25">
      <c r="B10" t="s">
        <v>103</v>
      </c>
      <c r="D10" t="s">
        <v>16</v>
      </c>
      <c r="F10" t="s">
        <v>24</v>
      </c>
      <c r="G10">
        <v>80</v>
      </c>
      <c r="H10">
        <v>80</v>
      </c>
      <c r="I10" t="s">
        <v>18</v>
      </c>
      <c r="J10" s="2">
        <v>18.77011192505169</v>
      </c>
      <c r="K10" s="3">
        <v>234.62639906314621</v>
      </c>
      <c r="L10" s="2">
        <v>36.963000000000001</v>
      </c>
      <c r="M10" s="3">
        <v>462.03750000000002</v>
      </c>
      <c r="N10" s="7">
        <v>10.496266</v>
      </c>
      <c r="O10" s="4">
        <f t="shared" si="0"/>
        <v>131.20332500000001</v>
      </c>
      <c r="P10" s="2">
        <f t="shared" si="1"/>
        <v>66.229377925051693</v>
      </c>
      <c r="Q10" s="3">
        <f t="shared" si="2"/>
        <v>827.86722406314618</v>
      </c>
      <c r="W10">
        <f t="shared" si="3"/>
        <v>685.01838628141309</v>
      </c>
    </row>
    <row r="11" spans="1:23" x14ac:dyDescent="0.25">
      <c r="B11" t="s">
        <v>63</v>
      </c>
      <c r="D11" t="s">
        <v>16</v>
      </c>
      <c r="F11" t="s">
        <v>24</v>
      </c>
      <c r="G11">
        <v>200</v>
      </c>
      <c r="H11">
        <v>200</v>
      </c>
      <c r="I11" t="s">
        <v>18</v>
      </c>
      <c r="J11" s="2">
        <v>38.988</v>
      </c>
      <c r="K11" s="3">
        <v>194.94</v>
      </c>
      <c r="L11" s="2">
        <v>96.902000000000001</v>
      </c>
      <c r="M11" s="3">
        <v>484.51</v>
      </c>
      <c r="N11" s="7">
        <v>22.059536000000001</v>
      </c>
      <c r="O11" s="4">
        <f t="shared" si="0"/>
        <v>110.29768000000001</v>
      </c>
      <c r="P11" s="2">
        <f t="shared" si="1"/>
        <v>157.94953599999999</v>
      </c>
      <c r="Q11" s="3">
        <f t="shared" si="2"/>
        <v>789.74767999999995</v>
      </c>
      <c r="W11">
        <f t="shared" si="3"/>
        <v>685.01838628141309</v>
      </c>
    </row>
    <row r="12" spans="1:23" x14ac:dyDescent="0.25">
      <c r="B12" t="s">
        <v>82</v>
      </c>
      <c r="D12" t="s">
        <v>16</v>
      </c>
      <c r="F12" t="s">
        <v>17</v>
      </c>
      <c r="G12">
        <v>100</v>
      </c>
      <c r="H12">
        <v>100</v>
      </c>
      <c r="I12" t="s">
        <v>18</v>
      </c>
      <c r="J12" s="2">
        <v>62.376605117880381</v>
      </c>
      <c r="K12" s="3">
        <v>623.76605117880376</v>
      </c>
      <c r="L12" s="2">
        <v>0</v>
      </c>
      <c r="M12" s="3">
        <v>0</v>
      </c>
      <c r="N12" s="7">
        <v>15.8</v>
      </c>
      <c r="O12" s="4">
        <f t="shared" si="0"/>
        <v>158</v>
      </c>
      <c r="P12" s="2">
        <f t="shared" si="1"/>
        <v>78.176605117880385</v>
      </c>
      <c r="Q12" s="3">
        <f t="shared" si="2"/>
        <v>781.76605117880388</v>
      </c>
      <c r="W12">
        <f t="shared" si="3"/>
        <v>685.01838628141309</v>
      </c>
    </row>
    <row r="13" spans="1:23" x14ac:dyDescent="0.25">
      <c r="B13" t="s">
        <v>111</v>
      </c>
      <c r="D13" t="s">
        <v>16</v>
      </c>
      <c r="F13" t="s">
        <v>24</v>
      </c>
      <c r="G13">
        <v>180</v>
      </c>
      <c r="H13">
        <v>180</v>
      </c>
      <c r="I13" t="s">
        <v>33</v>
      </c>
      <c r="J13" s="2">
        <v>14.12709934367405</v>
      </c>
      <c r="K13" s="3">
        <v>78.48388524263359</v>
      </c>
      <c r="L13" s="2">
        <v>117.73099999999999</v>
      </c>
      <c r="M13" s="3">
        <v>654.06111111111125</v>
      </c>
      <c r="N13" s="7">
        <v>5.4219710000000001</v>
      </c>
      <c r="O13" s="4">
        <f t="shared" si="0"/>
        <v>30.122061111111112</v>
      </c>
      <c r="P13" s="2">
        <f t="shared" si="1"/>
        <v>137.28007034367405</v>
      </c>
      <c r="Q13" s="3">
        <f t="shared" si="2"/>
        <v>762.66705746485582</v>
      </c>
      <c r="W13">
        <f t="shared" si="3"/>
        <v>685.01838628141309</v>
      </c>
    </row>
    <row r="14" spans="1:23" x14ac:dyDescent="0.25">
      <c r="B14" t="s">
        <v>30</v>
      </c>
      <c r="D14" t="s">
        <v>16</v>
      </c>
      <c r="F14" t="s">
        <v>24</v>
      </c>
      <c r="G14">
        <v>38.799999999999997</v>
      </c>
      <c r="H14">
        <v>38.799999999999997</v>
      </c>
      <c r="I14" t="s">
        <v>31</v>
      </c>
      <c r="J14" s="2">
        <v>7.9072139063897797</v>
      </c>
      <c r="K14" s="3">
        <v>203.79417284509739</v>
      </c>
      <c r="L14" s="2">
        <v>14.805999999999999</v>
      </c>
      <c r="M14" s="3">
        <v>381.59793814432999</v>
      </c>
      <c r="N14" s="7">
        <v>6.0858350000000003</v>
      </c>
      <c r="O14" s="4">
        <f t="shared" si="0"/>
        <v>156.85141752577323</v>
      </c>
      <c r="P14" s="2">
        <f t="shared" si="1"/>
        <v>28.799048906389778</v>
      </c>
      <c r="Q14" s="3">
        <f t="shared" si="2"/>
        <v>742.24352851520052</v>
      </c>
      <c r="W14">
        <f t="shared" si="3"/>
        <v>685.01838628141309</v>
      </c>
    </row>
    <row r="15" spans="1:23" x14ac:dyDescent="0.25">
      <c r="B15" t="s">
        <v>60</v>
      </c>
      <c r="D15" t="s">
        <v>16</v>
      </c>
      <c r="F15" t="s">
        <v>24</v>
      </c>
      <c r="G15">
        <v>162</v>
      </c>
      <c r="H15">
        <v>162</v>
      </c>
      <c r="I15" t="s">
        <v>18</v>
      </c>
      <c r="J15" s="2">
        <v>14.931638585951459</v>
      </c>
      <c r="K15" s="3">
        <v>92.17060855525591</v>
      </c>
      <c r="L15" s="2">
        <v>52.689</v>
      </c>
      <c r="M15" s="3">
        <v>325.2407407407407</v>
      </c>
      <c r="N15" s="7">
        <v>51.533999999999999</v>
      </c>
      <c r="O15" s="4">
        <f t="shared" si="0"/>
        <v>318.11111111111114</v>
      </c>
      <c r="P15" s="2">
        <f t="shared" si="1"/>
        <v>119.15463858595146</v>
      </c>
      <c r="Q15" s="3">
        <f t="shared" si="2"/>
        <v>735.52246040710781</v>
      </c>
      <c r="W15">
        <f t="shared" si="3"/>
        <v>685.01838628141309</v>
      </c>
    </row>
    <row r="16" spans="1:23" x14ac:dyDescent="0.25">
      <c r="B16" t="s">
        <v>39</v>
      </c>
      <c r="D16" t="s">
        <v>16</v>
      </c>
      <c r="F16" t="s">
        <v>17</v>
      </c>
      <c r="G16">
        <v>600</v>
      </c>
      <c r="H16">
        <v>600</v>
      </c>
      <c r="I16" t="s">
        <v>18</v>
      </c>
      <c r="J16" s="2">
        <v>393.30420898791141</v>
      </c>
      <c r="K16" s="3">
        <v>655.50701497985222</v>
      </c>
      <c r="L16" s="2">
        <v>0</v>
      </c>
      <c r="M16" s="3">
        <v>0</v>
      </c>
      <c r="N16" s="7">
        <v>10.46</v>
      </c>
      <c r="O16" s="4">
        <f t="shared" si="0"/>
        <v>17.433333333333337</v>
      </c>
      <c r="P16" s="2">
        <f t="shared" si="1"/>
        <v>403.76420898791139</v>
      </c>
      <c r="Q16" s="3">
        <f t="shared" si="2"/>
        <v>672.94034831318561</v>
      </c>
      <c r="W16">
        <f t="shared" si="3"/>
        <v>685.01838628141309</v>
      </c>
    </row>
    <row r="17" spans="2:23" x14ac:dyDescent="0.25">
      <c r="B17" t="s">
        <v>104</v>
      </c>
      <c r="D17" t="s">
        <v>16</v>
      </c>
      <c r="F17" t="s">
        <v>17</v>
      </c>
      <c r="G17">
        <v>92</v>
      </c>
      <c r="H17">
        <v>92</v>
      </c>
      <c r="I17" t="s">
        <v>18</v>
      </c>
      <c r="J17" s="2">
        <v>58.942154513043832</v>
      </c>
      <c r="K17" s="3">
        <v>640.67559253308514</v>
      </c>
      <c r="L17" s="2">
        <v>0</v>
      </c>
      <c r="M17" s="3">
        <v>0</v>
      </c>
      <c r="N17" s="7">
        <v>0</v>
      </c>
      <c r="O17" s="4">
        <f t="shared" si="0"/>
        <v>0</v>
      </c>
      <c r="P17" s="2">
        <f t="shared" si="1"/>
        <v>58.942154513043832</v>
      </c>
      <c r="Q17" s="3">
        <f t="shared" si="2"/>
        <v>640.67559253308514</v>
      </c>
      <c r="W17">
        <f t="shared" si="3"/>
        <v>685.01838628141309</v>
      </c>
    </row>
    <row r="18" spans="2:23" x14ac:dyDescent="0.25">
      <c r="B18" t="s">
        <v>139</v>
      </c>
      <c r="D18" t="s">
        <v>16</v>
      </c>
      <c r="F18" t="s">
        <v>24</v>
      </c>
      <c r="G18">
        <v>100</v>
      </c>
      <c r="H18">
        <v>100</v>
      </c>
      <c r="I18" t="s">
        <v>18</v>
      </c>
      <c r="J18" s="2">
        <v>0</v>
      </c>
      <c r="K18" s="3">
        <v>0</v>
      </c>
      <c r="L18" s="2">
        <v>37.723999999999997</v>
      </c>
      <c r="M18" s="3">
        <v>377.24</v>
      </c>
      <c r="N18" s="7">
        <v>21.263999999999999</v>
      </c>
      <c r="O18" s="4">
        <f t="shared" si="0"/>
        <v>212.64</v>
      </c>
      <c r="P18" s="2">
        <f t="shared" si="1"/>
        <v>58.988</v>
      </c>
      <c r="Q18" s="3">
        <f t="shared" si="2"/>
        <v>589.88</v>
      </c>
      <c r="W18">
        <f t="shared" si="3"/>
        <v>685.01838628141309</v>
      </c>
    </row>
    <row r="19" spans="2:23" x14ac:dyDescent="0.25">
      <c r="B19" t="s">
        <v>144</v>
      </c>
      <c r="D19" t="s">
        <v>16</v>
      </c>
      <c r="F19" t="s">
        <v>24</v>
      </c>
      <c r="G19">
        <v>200</v>
      </c>
      <c r="H19">
        <v>200</v>
      </c>
      <c r="I19" t="s">
        <v>18</v>
      </c>
      <c r="J19" s="2">
        <v>27.260134342159049</v>
      </c>
      <c r="K19" s="3">
        <v>136.3006717107952</v>
      </c>
      <c r="L19" s="2">
        <v>0</v>
      </c>
      <c r="M19" s="3">
        <v>0</v>
      </c>
      <c r="N19" s="7">
        <v>87.244</v>
      </c>
      <c r="O19" s="4">
        <f t="shared" si="0"/>
        <v>436.21999999999997</v>
      </c>
      <c r="P19" s="2">
        <f t="shared" si="1"/>
        <v>114.50413434215905</v>
      </c>
      <c r="Q19" s="3">
        <f t="shared" si="2"/>
        <v>572.52067171079523</v>
      </c>
      <c r="W19">
        <f t="shared" si="3"/>
        <v>685.01838628141309</v>
      </c>
    </row>
    <row r="20" spans="2:23" x14ac:dyDescent="0.25">
      <c r="B20" t="s">
        <v>55</v>
      </c>
      <c r="D20" t="s">
        <v>16</v>
      </c>
      <c r="F20" t="s">
        <v>24</v>
      </c>
      <c r="G20">
        <v>105</v>
      </c>
      <c r="H20">
        <v>105</v>
      </c>
      <c r="I20" t="s">
        <v>18</v>
      </c>
      <c r="J20" s="2">
        <v>48.527246845841091</v>
      </c>
      <c r="K20" s="3">
        <v>462.16425567467712</v>
      </c>
      <c r="L20" s="2">
        <v>0</v>
      </c>
      <c r="M20" s="3">
        <v>0</v>
      </c>
      <c r="N20" s="7">
        <v>9.7899999999999991</v>
      </c>
      <c r="O20" s="4">
        <f t="shared" si="0"/>
        <v>93.238095238095227</v>
      </c>
      <c r="P20" s="2">
        <f t="shared" si="1"/>
        <v>58.31724684584109</v>
      </c>
      <c r="Q20" s="3">
        <f t="shared" si="2"/>
        <v>555.40235091277225</v>
      </c>
      <c r="W20">
        <f t="shared" si="3"/>
        <v>685.01838628141309</v>
      </c>
    </row>
    <row r="21" spans="2:23" x14ac:dyDescent="0.25">
      <c r="B21" t="s">
        <v>118</v>
      </c>
      <c r="D21" t="s">
        <v>16</v>
      </c>
      <c r="F21" t="s">
        <v>17</v>
      </c>
      <c r="G21">
        <v>280</v>
      </c>
      <c r="H21">
        <v>280</v>
      </c>
      <c r="I21" t="s">
        <v>18</v>
      </c>
      <c r="J21" s="2">
        <v>100.1293942618919</v>
      </c>
      <c r="K21" s="3">
        <v>357.60497950675682</v>
      </c>
      <c r="L21" s="2">
        <v>0</v>
      </c>
      <c r="M21" s="3">
        <v>0</v>
      </c>
      <c r="N21" s="7">
        <v>53.061</v>
      </c>
      <c r="O21" s="4">
        <f t="shared" si="0"/>
        <v>189.50357142857143</v>
      </c>
      <c r="P21" s="2">
        <f t="shared" si="1"/>
        <v>153.1903942618919</v>
      </c>
      <c r="Q21" s="3">
        <f t="shared" si="2"/>
        <v>547.10855093532814</v>
      </c>
      <c r="W21">
        <f t="shared" si="3"/>
        <v>685.01838628141309</v>
      </c>
    </row>
    <row r="22" spans="2:23" x14ac:dyDescent="0.25">
      <c r="B22" t="s">
        <v>84</v>
      </c>
      <c r="D22" t="s">
        <v>16</v>
      </c>
      <c r="F22" t="s">
        <v>24</v>
      </c>
      <c r="G22">
        <v>80</v>
      </c>
      <c r="H22">
        <v>80</v>
      </c>
      <c r="I22" t="s">
        <v>29</v>
      </c>
      <c r="J22" s="2">
        <v>24.703959144264601</v>
      </c>
      <c r="K22" s="3">
        <v>308.79948930330761</v>
      </c>
      <c r="L22" s="2">
        <v>0</v>
      </c>
      <c r="M22" s="3">
        <v>0</v>
      </c>
      <c r="N22" s="7">
        <v>18.59</v>
      </c>
      <c r="O22" s="4">
        <f t="shared" si="0"/>
        <v>232.375</v>
      </c>
      <c r="P22" s="2">
        <f t="shared" si="1"/>
        <v>43.293959144264605</v>
      </c>
      <c r="Q22" s="3">
        <f t="shared" si="2"/>
        <v>541.17448930330761</v>
      </c>
      <c r="W22">
        <f t="shared" si="3"/>
        <v>685.01838628141309</v>
      </c>
    </row>
    <row r="23" spans="2:23" x14ac:dyDescent="0.25">
      <c r="B23" t="s">
        <v>35</v>
      </c>
      <c r="D23" t="s">
        <v>16</v>
      </c>
      <c r="F23" t="s">
        <v>24</v>
      </c>
      <c r="G23">
        <v>40</v>
      </c>
      <c r="H23">
        <v>40</v>
      </c>
      <c r="I23" t="s">
        <v>31</v>
      </c>
      <c r="J23" s="2">
        <v>3.6432726996641969</v>
      </c>
      <c r="K23" s="3">
        <v>91.081817491604937</v>
      </c>
      <c r="L23" s="2">
        <v>14.239000000000001</v>
      </c>
      <c r="M23" s="3">
        <v>355.97500000000002</v>
      </c>
      <c r="N23" s="7">
        <v>2.06</v>
      </c>
      <c r="O23" s="4">
        <f t="shared" si="0"/>
        <v>51.500000000000007</v>
      </c>
      <c r="P23" s="2">
        <f t="shared" si="1"/>
        <v>19.942272699664198</v>
      </c>
      <c r="Q23" s="3">
        <f t="shared" si="2"/>
        <v>498.55681749160499</v>
      </c>
      <c r="W23">
        <f t="shared" si="3"/>
        <v>685.01838628141309</v>
      </c>
    </row>
    <row r="24" spans="2:23" x14ac:dyDescent="0.25">
      <c r="B24" t="s">
        <v>79</v>
      </c>
      <c r="D24" t="s">
        <v>16</v>
      </c>
      <c r="F24" t="s">
        <v>24</v>
      </c>
      <c r="G24">
        <v>219.79</v>
      </c>
      <c r="H24">
        <v>262.70999999999998</v>
      </c>
      <c r="I24" t="s">
        <v>80</v>
      </c>
      <c r="J24" s="2">
        <v>11.030123911590721</v>
      </c>
      <c r="K24" s="3">
        <v>50.184830572777301</v>
      </c>
      <c r="L24" s="2">
        <v>97.697000000000017</v>
      </c>
      <c r="M24" s="3">
        <v>444.50156968014932</v>
      </c>
      <c r="N24" s="7"/>
      <c r="O24" s="4">
        <f t="shared" si="0"/>
        <v>0</v>
      </c>
      <c r="P24" s="2">
        <f t="shared" si="1"/>
        <v>108.72712391159074</v>
      </c>
      <c r="Q24" s="3">
        <f t="shared" si="2"/>
        <v>494.6864002529266</v>
      </c>
      <c r="R24" t="s">
        <v>160</v>
      </c>
      <c r="W24">
        <f t="shared" si="3"/>
        <v>685.01838628141309</v>
      </c>
    </row>
    <row r="25" spans="2:23" x14ac:dyDescent="0.25">
      <c r="B25" t="s">
        <v>72</v>
      </c>
      <c r="D25" t="s">
        <v>16</v>
      </c>
      <c r="F25" t="s">
        <v>17</v>
      </c>
      <c r="G25">
        <v>200</v>
      </c>
      <c r="H25">
        <v>200</v>
      </c>
      <c r="I25" t="s">
        <v>18</v>
      </c>
      <c r="J25" s="2">
        <v>68.425489157820621</v>
      </c>
      <c r="K25" s="3">
        <v>342.12744578910309</v>
      </c>
      <c r="L25" s="2">
        <v>0</v>
      </c>
      <c r="M25" s="3">
        <v>0</v>
      </c>
      <c r="N25" s="7">
        <v>16.05</v>
      </c>
      <c r="O25" s="4">
        <f t="shared" si="0"/>
        <v>80.25</v>
      </c>
      <c r="P25" s="2">
        <f t="shared" si="1"/>
        <v>84.475489157820618</v>
      </c>
      <c r="Q25" s="3">
        <f t="shared" si="2"/>
        <v>422.37744578910309</v>
      </c>
      <c r="W25">
        <f t="shared" si="3"/>
        <v>685.01838628141309</v>
      </c>
    </row>
    <row r="26" spans="2:23" x14ac:dyDescent="0.25">
      <c r="B26" t="s">
        <v>85</v>
      </c>
      <c r="D26" t="s">
        <v>16</v>
      </c>
      <c r="F26" t="s">
        <v>24</v>
      </c>
      <c r="G26">
        <v>150</v>
      </c>
      <c r="H26">
        <v>150</v>
      </c>
      <c r="I26" t="s">
        <v>29</v>
      </c>
      <c r="J26" s="2">
        <v>41.256442821370847</v>
      </c>
      <c r="K26" s="3">
        <v>275.04295214247242</v>
      </c>
      <c r="L26" s="2">
        <v>0</v>
      </c>
      <c r="M26" s="3">
        <v>0</v>
      </c>
      <c r="N26" s="7">
        <v>17.96</v>
      </c>
      <c r="O26" s="4">
        <f t="shared" si="0"/>
        <v>119.73333333333335</v>
      </c>
      <c r="P26" s="2">
        <f t="shared" si="1"/>
        <v>59.216442821370848</v>
      </c>
      <c r="Q26" s="3">
        <f t="shared" si="2"/>
        <v>394.77628547580565</v>
      </c>
      <c r="W26">
        <f>AVERAGEIF($D$2:$D$122, "LA", $Q$2:$Q$122)</f>
        <v>685.01838628141309</v>
      </c>
    </row>
    <row r="27" spans="2:23" x14ac:dyDescent="0.25">
      <c r="B27" t="s">
        <v>51</v>
      </c>
      <c r="D27" t="s">
        <v>16</v>
      </c>
      <c r="F27" t="s">
        <v>17</v>
      </c>
      <c r="G27">
        <v>150</v>
      </c>
      <c r="H27">
        <v>150</v>
      </c>
      <c r="I27" t="s">
        <v>18</v>
      </c>
      <c r="J27" s="2">
        <v>46.519012380280728</v>
      </c>
      <c r="K27" s="3">
        <v>310.12674920187158</v>
      </c>
      <c r="L27" s="2">
        <v>0</v>
      </c>
      <c r="M27" s="3">
        <v>0</v>
      </c>
      <c r="N27" s="7">
        <f>SUM(11.53, 0.35)</f>
        <v>11.879999999999999</v>
      </c>
      <c r="O27" s="4">
        <f t="shared" si="0"/>
        <v>79.199999999999989</v>
      </c>
      <c r="P27" s="2">
        <f t="shared" si="1"/>
        <v>58.399012380280723</v>
      </c>
      <c r="Q27" s="3">
        <f t="shared" si="2"/>
        <v>389.32674920187151</v>
      </c>
      <c r="R27" t="s">
        <v>162</v>
      </c>
      <c r="W27">
        <f t="shared" si="3"/>
        <v>685.01838628141309</v>
      </c>
    </row>
    <row r="28" spans="2:23" x14ac:dyDescent="0.25">
      <c r="B28" t="s">
        <v>25</v>
      </c>
      <c r="D28" t="s">
        <v>16</v>
      </c>
      <c r="F28" t="s">
        <v>17</v>
      </c>
      <c r="G28">
        <v>250</v>
      </c>
      <c r="H28">
        <v>250</v>
      </c>
      <c r="I28" t="s">
        <v>18</v>
      </c>
      <c r="J28" s="2">
        <v>71.805823950664546</v>
      </c>
      <c r="K28" s="3">
        <v>287.22329580265819</v>
      </c>
      <c r="L28" s="2">
        <v>0</v>
      </c>
      <c r="M28" s="3">
        <v>0</v>
      </c>
      <c r="N28" s="7">
        <v>17.07</v>
      </c>
      <c r="O28" s="4">
        <f t="shared" si="0"/>
        <v>68.28</v>
      </c>
      <c r="P28" s="2">
        <f t="shared" si="1"/>
        <v>88.87582395066454</v>
      </c>
      <c r="Q28" s="3">
        <f t="shared" si="2"/>
        <v>355.50329580265816</v>
      </c>
      <c r="W28">
        <f t="shared" si="3"/>
        <v>685.01838628141309</v>
      </c>
    </row>
    <row r="29" spans="2:23" x14ac:dyDescent="0.25">
      <c r="B29" t="s">
        <v>148</v>
      </c>
      <c r="D29" t="s">
        <v>16</v>
      </c>
      <c r="F29" t="s">
        <v>17</v>
      </c>
      <c r="G29">
        <v>350</v>
      </c>
      <c r="H29">
        <v>350</v>
      </c>
      <c r="I29" t="s">
        <v>18</v>
      </c>
      <c r="J29" s="2">
        <v>48.080212189626693</v>
      </c>
      <c r="K29" s="3">
        <v>137.37203482750479</v>
      </c>
      <c r="L29" s="2">
        <v>0</v>
      </c>
      <c r="M29" s="3">
        <v>0</v>
      </c>
      <c r="N29" s="7">
        <v>68.007999999999996</v>
      </c>
      <c r="O29" s="4">
        <f t="shared" si="0"/>
        <v>194.30857142857141</v>
      </c>
      <c r="P29" s="2">
        <f t="shared" si="1"/>
        <v>116.08821218962669</v>
      </c>
      <c r="Q29" s="3">
        <f t="shared" si="2"/>
        <v>331.68060625607626</v>
      </c>
      <c r="W29">
        <f t="shared" si="3"/>
        <v>685.01838628141309</v>
      </c>
    </row>
    <row r="30" spans="2:23" x14ac:dyDescent="0.25">
      <c r="B30" t="s">
        <v>52</v>
      </c>
      <c r="D30" t="s">
        <v>16</v>
      </c>
      <c r="F30" t="s">
        <v>24</v>
      </c>
      <c r="G30">
        <v>160</v>
      </c>
      <c r="H30">
        <v>160</v>
      </c>
      <c r="I30" t="s">
        <v>18</v>
      </c>
      <c r="J30" s="2">
        <v>32.131614262560781</v>
      </c>
      <c r="K30" s="3">
        <v>200.8225891410049</v>
      </c>
      <c r="L30" s="2">
        <v>0</v>
      </c>
      <c r="M30" s="3">
        <v>0</v>
      </c>
      <c r="N30" s="7">
        <v>20.530042999999999</v>
      </c>
      <c r="O30" s="4">
        <f t="shared" si="0"/>
        <v>128.31276875</v>
      </c>
      <c r="P30" s="2">
        <f t="shared" si="1"/>
        <v>52.66165726256078</v>
      </c>
      <c r="Q30" s="3">
        <f t="shared" si="2"/>
        <v>329.1353578910049</v>
      </c>
      <c r="W30">
        <f t="shared" si="3"/>
        <v>685.01838628141309</v>
      </c>
    </row>
    <row r="31" spans="2:23" x14ac:dyDescent="0.25">
      <c r="B31" t="s">
        <v>15</v>
      </c>
      <c r="D31" t="s">
        <v>16</v>
      </c>
      <c r="F31" t="s">
        <v>17</v>
      </c>
      <c r="G31">
        <v>200</v>
      </c>
      <c r="H31">
        <v>200</v>
      </c>
      <c r="I31" t="s">
        <v>18</v>
      </c>
      <c r="J31" s="2">
        <v>28.340704119018149</v>
      </c>
      <c r="K31" s="3">
        <v>141.70352059509079</v>
      </c>
      <c r="L31" s="2">
        <v>0</v>
      </c>
      <c r="M31" s="3">
        <v>0</v>
      </c>
      <c r="N31" s="7">
        <v>32.209000000000003</v>
      </c>
      <c r="O31" s="4">
        <f t="shared" si="0"/>
        <v>161.04500000000002</v>
      </c>
      <c r="P31" s="2">
        <f t="shared" si="1"/>
        <v>60.549704119018152</v>
      </c>
      <c r="Q31" s="3">
        <f t="shared" si="2"/>
        <v>302.74852059509078</v>
      </c>
      <c r="W31">
        <f t="shared" si="3"/>
        <v>685.01838628141309</v>
      </c>
    </row>
    <row r="32" spans="2:23" x14ac:dyDescent="0.25">
      <c r="B32" t="s">
        <v>61</v>
      </c>
      <c r="D32" t="s">
        <v>16</v>
      </c>
      <c r="F32" t="s">
        <v>24</v>
      </c>
      <c r="G32">
        <v>120</v>
      </c>
      <c r="H32">
        <v>120</v>
      </c>
      <c r="I32" t="s">
        <v>18</v>
      </c>
      <c r="J32" s="2">
        <v>5.6551074232565242</v>
      </c>
      <c r="K32" s="3">
        <v>47.125895193804368</v>
      </c>
      <c r="L32" s="2">
        <v>0</v>
      </c>
      <c r="M32" s="3">
        <v>0</v>
      </c>
      <c r="N32" s="7">
        <v>17.265000000000001</v>
      </c>
      <c r="O32" s="4">
        <f t="shared" si="0"/>
        <v>143.875</v>
      </c>
      <c r="P32" s="2">
        <f t="shared" si="1"/>
        <v>22.920107423256525</v>
      </c>
      <c r="Q32" s="3">
        <f t="shared" si="2"/>
        <v>191.00089519380435</v>
      </c>
      <c r="W32">
        <f t="shared" si="3"/>
        <v>685.01838628141309</v>
      </c>
    </row>
    <row r="33" spans="2:23" x14ac:dyDescent="0.25">
      <c r="B33" t="s">
        <v>123</v>
      </c>
      <c r="D33" t="s">
        <v>16</v>
      </c>
      <c r="F33" t="s">
        <v>17</v>
      </c>
      <c r="G33">
        <v>150</v>
      </c>
      <c r="H33">
        <v>150</v>
      </c>
      <c r="I33" t="s">
        <v>18</v>
      </c>
      <c r="J33" s="2">
        <v>0</v>
      </c>
      <c r="K33" s="3">
        <v>0</v>
      </c>
      <c r="L33" s="2">
        <v>0</v>
      </c>
      <c r="M33" s="3">
        <v>0</v>
      </c>
      <c r="N33" s="7">
        <v>23.431000000000001</v>
      </c>
      <c r="O33" s="4">
        <f t="shared" si="0"/>
        <v>156.20666666666665</v>
      </c>
      <c r="P33" s="2">
        <f t="shared" si="1"/>
        <v>23.431000000000001</v>
      </c>
      <c r="Q33" s="3">
        <f t="shared" si="2"/>
        <v>156.20666666666665</v>
      </c>
      <c r="W33">
        <f t="shared" si="3"/>
        <v>685.01838628141309</v>
      </c>
    </row>
    <row r="34" spans="2:23" x14ac:dyDescent="0.25">
      <c r="B34" t="s">
        <v>98</v>
      </c>
      <c r="D34" t="s">
        <v>16</v>
      </c>
      <c r="F34" t="s">
        <v>17</v>
      </c>
      <c r="G34">
        <v>250</v>
      </c>
      <c r="H34">
        <v>250</v>
      </c>
      <c r="I34" t="s">
        <v>29</v>
      </c>
      <c r="J34" s="2">
        <v>24.24894212876195</v>
      </c>
      <c r="K34" s="3">
        <v>96.995768515047814</v>
      </c>
      <c r="L34" s="2">
        <v>0</v>
      </c>
      <c r="M34" s="3">
        <v>0</v>
      </c>
      <c r="N34" s="7">
        <v>12.84</v>
      </c>
      <c r="O34" s="4">
        <f t="shared" si="0"/>
        <v>51.36</v>
      </c>
      <c r="P34" s="2">
        <f t="shared" si="1"/>
        <v>37.08894212876195</v>
      </c>
      <c r="Q34" s="3">
        <f t="shared" si="2"/>
        <v>148.3557685150478</v>
      </c>
      <c r="W34">
        <f t="shared" si="3"/>
        <v>685.01838628141309</v>
      </c>
    </row>
    <row r="35" spans="2:23" x14ac:dyDescent="0.25">
      <c r="B35" t="s">
        <v>113</v>
      </c>
      <c r="D35" t="s">
        <v>16</v>
      </c>
      <c r="F35" t="s">
        <v>24</v>
      </c>
      <c r="G35">
        <v>200</v>
      </c>
      <c r="H35">
        <v>200</v>
      </c>
      <c r="I35" t="s">
        <v>18</v>
      </c>
      <c r="J35" s="2">
        <v>9.7842277983806927</v>
      </c>
      <c r="K35" s="3">
        <v>48.921138991903462</v>
      </c>
      <c r="L35" s="2">
        <v>0</v>
      </c>
      <c r="M35" s="3">
        <v>0</v>
      </c>
      <c r="N35" s="7">
        <v>15.571</v>
      </c>
      <c r="O35" s="4">
        <f t="shared" si="0"/>
        <v>77.85499999999999</v>
      </c>
      <c r="P35" s="2">
        <f t="shared" si="1"/>
        <v>25.355227798380692</v>
      </c>
      <c r="Q35" s="3">
        <f t="shared" si="2"/>
        <v>126.77613899190347</v>
      </c>
      <c r="W35">
        <f t="shared" si="3"/>
        <v>685.01838628141309</v>
      </c>
    </row>
    <row r="36" spans="2:23" x14ac:dyDescent="0.25">
      <c r="B36" t="s">
        <v>57</v>
      </c>
      <c r="D36" t="s">
        <v>16</v>
      </c>
      <c r="F36" t="s">
        <v>24</v>
      </c>
      <c r="G36">
        <v>100</v>
      </c>
      <c r="H36">
        <v>100</v>
      </c>
      <c r="I36" t="s">
        <v>18</v>
      </c>
      <c r="J36" s="2">
        <v>4.9146050278868971</v>
      </c>
      <c r="K36" s="3">
        <v>49.146050278868977</v>
      </c>
      <c r="L36" s="2">
        <v>0</v>
      </c>
      <c r="M36" s="3">
        <v>0</v>
      </c>
      <c r="N36" s="7">
        <v>2.42</v>
      </c>
      <c r="O36" s="4">
        <f t="shared" si="0"/>
        <v>24.2</v>
      </c>
      <c r="P36" s="2">
        <f t="shared" si="1"/>
        <v>7.3346050278868971</v>
      </c>
      <c r="Q36" s="3">
        <f t="shared" si="2"/>
        <v>73.346050278868972</v>
      </c>
      <c r="W36">
        <f t="shared" si="3"/>
        <v>685.01838628141309</v>
      </c>
    </row>
  </sheetData>
  <autoFilter ref="A1:R36" xr:uid="{00000000-0001-0000-0400-000000000000}">
    <sortState xmlns:xlrd2="http://schemas.microsoft.com/office/spreadsheetml/2017/richdata2" ref="A2:R36">
      <sortCondition descending="1" ref="Q1:Q36"/>
    </sortState>
  </autoFilter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5"/>
  <sheetViews>
    <sheetView workbookViewId="0">
      <pane ySplit="1" topLeftCell="A14" activePane="bottomLeft" state="frozen"/>
      <selection pane="bottomLeft" activeCell="Q25" sqref="Q25"/>
    </sheetView>
  </sheetViews>
  <sheetFormatPr defaultRowHeight="15" x14ac:dyDescent="0.25"/>
  <cols>
    <col min="17" max="17" width="13" customWidth="1"/>
  </cols>
  <sheetData>
    <row r="1" spans="1:21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156</v>
      </c>
      <c r="O1" s="5" t="s">
        <v>157</v>
      </c>
      <c r="P1" s="1" t="s">
        <v>13</v>
      </c>
      <c r="Q1" s="1" t="s">
        <v>14</v>
      </c>
      <c r="R1" s="1" t="s">
        <v>159</v>
      </c>
      <c r="U1" t="s">
        <v>163</v>
      </c>
    </row>
    <row r="2" spans="1:21" x14ac:dyDescent="0.25">
      <c r="B2" t="s">
        <v>90</v>
      </c>
      <c r="D2" t="s">
        <v>20</v>
      </c>
      <c r="F2" t="s">
        <v>24</v>
      </c>
      <c r="G2">
        <v>150</v>
      </c>
      <c r="H2">
        <v>150</v>
      </c>
      <c r="I2" t="s">
        <v>29</v>
      </c>
      <c r="J2" s="2">
        <v>152.14539026289339</v>
      </c>
      <c r="K2" s="3">
        <v>1014.302601752623</v>
      </c>
      <c r="L2" s="2">
        <v>97.419999999999945</v>
      </c>
      <c r="M2" s="3">
        <v>649.46666666666636</v>
      </c>
      <c r="N2" s="7">
        <v>19.2</v>
      </c>
      <c r="O2" s="4">
        <f t="shared" ref="O2:O25" si="0">(N2/G2)*1000</f>
        <v>128</v>
      </c>
      <c r="P2" s="2">
        <f t="shared" ref="P2:P25" si="1">SUM(J2,L2,N2)</f>
        <v>268.76539026289333</v>
      </c>
      <c r="Q2" s="3">
        <f t="shared" ref="Q2:Q25" si="2">(P2/G2)*1000</f>
        <v>1791.7692684192889</v>
      </c>
      <c r="U2">
        <f t="shared" ref="U2:U25" si="3">AVERAGEIF($D$2:$D$122, "MS", $Q$2:$Q$122)</f>
        <v>763.59369814554714</v>
      </c>
    </row>
    <row r="3" spans="1:21" x14ac:dyDescent="0.25">
      <c r="B3" t="s">
        <v>146</v>
      </c>
      <c r="D3" t="s">
        <v>20</v>
      </c>
      <c r="F3" t="s">
        <v>24</v>
      </c>
      <c r="G3">
        <v>100</v>
      </c>
      <c r="H3">
        <v>100</v>
      </c>
      <c r="I3" t="s">
        <v>29</v>
      </c>
      <c r="J3" s="2">
        <v>24.247605088122111</v>
      </c>
      <c r="K3" s="3">
        <v>242.47605088122111</v>
      </c>
      <c r="L3" s="2">
        <v>100.104</v>
      </c>
      <c r="M3" s="3">
        <v>1001.04</v>
      </c>
      <c r="N3" s="7">
        <v>16.489999999999998</v>
      </c>
      <c r="O3" s="4">
        <f t="shared" si="0"/>
        <v>164.89999999999998</v>
      </c>
      <c r="P3" s="2">
        <f t="shared" si="1"/>
        <v>140.84160508812212</v>
      </c>
      <c r="Q3" s="3">
        <f t="shared" si="2"/>
        <v>1408.4160508812211</v>
      </c>
      <c r="U3">
        <f t="shared" si="3"/>
        <v>763.59369814554714</v>
      </c>
    </row>
    <row r="4" spans="1:21" x14ac:dyDescent="0.25">
      <c r="B4" t="s">
        <v>151</v>
      </c>
      <c r="D4" t="s">
        <v>20</v>
      </c>
      <c r="F4" t="s">
        <v>24</v>
      </c>
      <c r="G4">
        <v>100</v>
      </c>
      <c r="H4">
        <v>100</v>
      </c>
      <c r="I4" t="s">
        <v>29</v>
      </c>
      <c r="J4" s="2">
        <v>84.38524201164789</v>
      </c>
      <c r="K4" s="3">
        <v>843.85242011647892</v>
      </c>
      <c r="L4" s="2">
        <v>36.499000000000002</v>
      </c>
      <c r="M4" s="3">
        <v>364.99</v>
      </c>
      <c r="N4" s="7">
        <v>11.5</v>
      </c>
      <c r="O4" s="4">
        <f t="shared" si="0"/>
        <v>115</v>
      </c>
      <c r="P4" s="2">
        <f t="shared" si="1"/>
        <v>132.3842420116479</v>
      </c>
      <c r="Q4" s="3">
        <f t="shared" si="2"/>
        <v>1323.8424201164789</v>
      </c>
      <c r="U4">
        <f t="shared" si="3"/>
        <v>763.59369814554714</v>
      </c>
    </row>
    <row r="5" spans="1:21" x14ac:dyDescent="0.25">
      <c r="B5" t="s">
        <v>119</v>
      </c>
      <c r="D5" t="s">
        <v>20</v>
      </c>
      <c r="F5" t="s">
        <v>24</v>
      </c>
      <c r="G5">
        <v>100</v>
      </c>
      <c r="H5">
        <v>100</v>
      </c>
      <c r="I5" t="s">
        <v>29</v>
      </c>
      <c r="J5" s="2">
        <v>96.595334963952965</v>
      </c>
      <c r="K5" s="3">
        <v>965.95334963952962</v>
      </c>
      <c r="L5" s="2">
        <v>12.342000000000001</v>
      </c>
      <c r="M5" s="3">
        <v>123.42</v>
      </c>
      <c r="N5" s="7">
        <v>8.9614860000000007</v>
      </c>
      <c r="O5" s="4">
        <f t="shared" si="0"/>
        <v>89.614860000000007</v>
      </c>
      <c r="P5" s="2">
        <f t="shared" si="1"/>
        <v>117.89882096395297</v>
      </c>
      <c r="Q5" s="3">
        <f t="shared" si="2"/>
        <v>1178.9882096395297</v>
      </c>
      <c r="U5">
        <f t="shared" si="3"/>
        <v>763.59369814554714</v>
      </c>
    </row>
    <row r="6" spans="1:21" x14ac:dyDescent="0.25">
      <c r="B6" t="s">
        <v>42</v>
      </c>
      <c r="D6" t="s">
        <v>20</v>
      </c>
      <c r="F6" t="s">
        <v>24</v>
      </c>
      <c r="G6">
        <v>176.6</v>
      </c>
      <c r="H6">
        <v>176.6</v>
      </c>
      <c r="I6" t="s">
        <v>33</v>
      </c>
      <c r="J6" s="2">
        <v>12.683419126384299</v>
      </c>
      <c r="K6" s="3">
        <v>71.820040353251969</v>
      </c>
      <c r="L6" s="2">
        <v>188.95400000000001</v>
      </c>
      <c r="M6" s="3">
        <v>1069.9546998867499</v>
      </c>
      <c r="N6" s="7">
        <v>0.49</v>
      </c>
      <c r="O6" s="4">
        <f t="shared" si="0"/>
        <v>2.7746319365798415</v>
      </c>
      <c r="P6" s="2">
        <f t="shared" si="1"/>
        <v>202.12741912638432</v>
      </c>
      <c r="Q6" s="3">
        <f t="shared" si="2"/>
        <v>1144.5493721765818</v>
      </c>
      <c r="U6">
        <f t="shared" si="3"/>
        <v>763.59369814554714</v>
      </c>
    </row>
    <row r="7" spans="1:21" x14ac:dyDescent="0.25">
      <c r="B7" t="s">
        <v>53</v>
      </c>
      <c r="D7" t="s">
        <v>20</v>
      </c>
      <c r="F7" t="s">
        <v>17</v>
      </c>
      <c r="G7">
        <v>120</v>
      </c>
      <c r="H7">
        <v>120</v>
      </c>
      <c r="I7" t="s">
        <v>18</v>
      </c>
      <c r="J7" s="2">
        <v>129.5016044033209</v>
      </c>
      <c r="K7" s="3">
        <v>1079.180036694341</v>
      </c>
      <c r="L7" s="2">
        <v>0</v>
      </c>
      <c r="M7" s="3">
        <v>0</v>
      </c>
      <c r="N7" s="7">
        <v>5.05</v>
      </c>
      <c r="O7" s="4">
        <f t="shared" si="0"/>
        <v>42.083333333333336</v>
      </c>
      <c r="P7" s="2">
        <f t="shared" si="1"/>
        <v>134.55160440332091</v>
      </c>
      <c r="Q7" s="3">
        <f t="shared" si="2"/>
        <v>1121.2633700276742</v>
      </c>
      <c r="U7">
        <f t="shared" si="3"/>
        <v>763.59369814554714</v>
      </c>
    </row>
    <row r="8" spans="1:21" x14ac:dyDescent="0.25">
      <c r="B8" t="s">
        <v>132</v>
      </c>
      <c r="D8" t="s">
        <v>20</v>
      </c>
      <c r="F8" t="s">
        <v>17</v>
      </c>
      <c r="G8">
        <v>100</v>
      </c>
      <c r="H8">
        <v>100</v>
      </c>
      <c r="I8" t="s">
        <v>31</v>
      </c>
      <c r="J8" s="2">
        <v>72.558215365045612</v>
      </c>
      <c r="K8" s="3">
        <v>725.58215365045612</v>
      </c>
      <c r="L8" s="2">
        <v>0</v>
      </c>
      <c r="M8" s="3">
        <v>0</v>
      </c>
      <c r="N8" s="7">
        <v>26.652692999999999</v>
      </c>
      <c r="O8" s="4">
        <f t="shared" si="0"/>
        <v>266.52692999999999</v>
      </c>
      <c r="P8" s="2">
        <f t="shared" si="1"/>
        <v>99.210908365045611</v>
      </c>
      <c r="Q8" s="3">
        <f t="shared" si="2"/>
        <v>992.10908365045611</v>
      </c>
      <c r="U8">
        <f t="shared" si="3"/>
        <v>763.59369814554714</v>
      </c>
    </row>
    <row r="9" spans="1:21" x14ac:dyDescent="0.25">
      <c r="B9" t="s">
        <v>145</v>
      </c>
      <c r="D9" t="s">
        <v>20</v>
      </c>
      <c r="F9" t="s">
        <v>24</v>
      </c>
      <c r="G9">
        <v>160</v>
      </c>
      <c r="H9">
        <v>160</v>
      </c>
      <c r="I9" t="s">
        <v>18</v>
      </c>
      <c r="J9" s="2">
        <v>51.481939775764168</v>
      </c>
      <c r="K9" s="3">
        <v>321.76212359852599</v>
      </c>
      <c r="L9" s="2">
        <v>91.603999999999999</v>
      </c>
      <c r="M9" s="3">
        <v>572.52499999999998</v>
      </c>
      <c r="N9" s="7"/>
      <c r="O9" s="4">
        <f t="shared" si="0"/>
        <v>0</v>
      </c>
      <c r="P9" s="2">
        <f t="shared" si="1"/>
        <v>143.08593977576416</v>
      </c>
      <c r="Q9" s="3">
        <f t="shared" si="2"/>
        <v>894.28712359852602</v>
      </c>
      <c r="U9">
        <f t="shared" si="3"/>
        <v>763.59369814554714</v>
      </c>
    </row>
    <row r="10" spans="1:21" x14ac:dyDescent="0.25">
      <c r="B10" t="s">
        <v>62</v>
      </c>
      <c r="D10" t="s">
        <v>20</v>
      </c>
      <c r="F10" t="s">
        <v>24</v>
      </c>
      <c r="G10">
        <v>150</v>
      </c>
      <c r="H10">
        <v>150</v>
      </c>
      <c r="I10" t="s">
        <v>18</v>
      </c>
      <c r="J10" s="2">
        <v>71.530370049362048</v>
      </c>
      <c r="K10" s="3">
        <v>476.86913366241367</v>
      </c>
      <c r="L10" s="2">
        <v>38.756</v>
      </c>
      <c r="M10" s="3">
        <v>258.37333333333328</v>
      </c>
      <c r="N10" s="7">
        <v>21.91</v>
      </c>
      <c r="O10" s="4">
        <f t="shared" si="0"/>
        <v>146.06666666666669</v>
      </c>
      <c r="P10" s="2">
        <f t="shared" si="1"/>
        <v>132.19637004936206</v>
      </c>
      <c r="Q10" s="3">
        <f t="shared" si="2"/>
        <v>881.30913366241373</v>
      </c>
      <c r="U10">
        <f t="shared" si="3"/>
        <v>763.59369814554714</v>
      </c>
    </row>
    <row r="11" spans="1:21" x14ac:dyDescent="0.25">
      <c r="B11" t="s">
        <v>110</v>
      </c>
      <c r="D11" t="s">
        <v>20</v>
      </c>
      <c r="F11" t="s">
        <v>24</v>
      </c>
      <c r="G11">
        <v>100</v>
      </c>
      <c r="H11">
        <v>100</v>
      </c>
      <c r="I11" t="s">
        <v>29</v>
      </c>
      <c r="J11" s="2">
        <v>11.147787297340139</v>
      </c>
      <c r="K11" s="3">
        <v>111.4778729734014</v>
      </c>
      <c r="L11" s="2">
        <v>56.101999999999983</v>
      </c>
      <c r="M11" s="3">
        <v>561.01999999999975</v>
      </c>
      <c r="N11" s="7">
        <v>15.92</v>
      </c>
      <c r="O11" s="4">
        <f t="shared" si="0"/>
        <v>159.20000000000002</v>
      </c>
      <c r="P11" s="2">
        <f t="shared" si="1"/>
        <v>83.169787297340122</v>
      </c>
      <c r="Q11" s="3">
        <f t="shared" si="2"/>
        <v>831.69787297340122</v>
      </c>
      <c r="U11">
        <f t="shared" si="3"/>
        <v>763.59369814554714</v>
      </c>
    </row>
    <row r="12" spans="1:21" x14ac:dyDescent="0.25">
      <c r="B12" t="s">
        <v>44</v>
      </c>
      <c r="D12" t="s">
        <v>20</v>
      </c>
      <c r="F12" t="s">
        <v>24</v>
      </c>
      <c r="G12">
        <v>250</v>
      </c>
      <c r="H12">
        <v>250</v>
      </c>
      <c r="I12" t="s">
        <v>18</v>
      </c>
      <c r="J12" s="2">
        <v>88.92953172099827</v>
      </c>
      <c r="K12" s="3">
        <v>355.71812688399308</v>
      </c>
      <c r="L12" s="2">
        <v>106.22199999999999</v>
      </c>
      <c r="M12" s="3">
        <v>424.88799999999998</v>
      </c>
      <c r="N12" s="7">
        <v>6.29</v>
      </c>
      <c r="O12" s="4">
        <f t="shared" si="0"/>
        <v>25.16</v>
      </c>
      <c r="P12" s="2">
        <f t="shared" si="1"/>
        <v>201.44153172099826</v>
      </c>
      <c r="Q12" s="3">
        <f t="shared" si="2"/>
        <v>805.76612688399302</v>
      </c>
      <c r="U12">
        <f t="shared" si="3"/>
        <v>763.59369814554714</v>
      </c>
    </row>
    <row r="13" spans="1:21" x14ac:dyDescent="0.25">
      <c r="B13" t="s">
        <v>141</v>
      </c>
      <c r="D13" t="s">
        <v>20</v>
      </c>
      <c r="F13" t="s">
        <v>24</v>
      </c>
      <c r="G13">
        <v>225</v>
      </c>
      <c r="H13">
        <v>225</v>
      </c>
      <c r="I13" t="s">
        <v>18</v>
      </c>
      <c r="J13" s="2">
        <v>84.529463748907887</v>
      </c>
      <c r="K13" s="3">
        <v>375.68650555070172</v>
      </c>
      <c r="L13" s="2">
        <v>54.263000000000012</v>
      </c>
      <c r="M13" s="3">
        <v>241.16888888888889</v>
      </c>
      <c r="N13" s="7">
        <v>3.83</v>
      </c>
      <c r="O13" s="4">
        <f t="shared" si="0"/>
        <v>17.022222222222222</v>
      </c>
      <c r="P13" s="2">
        <f t="shared" si="1"/>
        <v>142.6224637489079</v>
      </c>
      <c r="Q13" s="3">
        <f t="shared" si="2"/>
        <v>633.87761666181291</v>
      </c>
      <c r="U13">
        <f t="shared" si="3"/>
        <v>763.59369814554714</v>
      </c>
    </row>
    <row r="14" spans="1:21" x14ac:dyDescent="0.25">
      <c r="B14" t="s">
        <v>95</v>
      </c>
      <c r="C14" t="s">
        <v>96</v>
      </c>
      <c r="D14" t="s">
        <v>20</v>
      </c>
      <c r="F14" t="s">
        <v>24</v>
      </c>
      <c r="G14">
        <v>200</v>
      </c>
      <c r="H14">
        <v>200</v>
      </c>
      <c r="I14" t="s">
        <v>29</v>
      </c>
      <c r="J14" s="2">
        <v>108.9875971733629</v>
      </c>
      <c r="K14" s="3">
        <v>544.93798586681442</v>
      </c>
      <c r="L14" s="2">
        <v>0</v>
      </c>
      <c r="M14" s="3">
        <v>0</v>
      </c>
      <c r="N14" s="7">
        <v>14.9</v>
      </c>
      <c r="O14" s="4">
        <f t="shared" si="0"/>
        <v>74.5</v>
      </c>
      <c r="P14" s="2">
        <f t="shared" si="1"/>
        <v>123.88759717336291</v>
      </c>
      <c r="Q14" s="3">
        <f t="shared" si="2"/>
        <v>619.43798586681453</v>
      </c>
      <c r="U14">
        <f t="shared" si="3"/>
        <v>763.59369814554714</v>
      </c>
    </row>
    <row r="15" spans="1:21" x14ac:dyDescent="0.25">
      <c r="B15" t="s">
        <v>70</v>
      </c>
      <c r="D15" t="s">
        <v>20</v>
      </c>
      <c r="F15" t="s">
        <v>17</v>
      </c>
      <c r="G15">
        <v>125</v>
      </c>
      <c r="H15">
        <v>125</v>
      </c>
      <c r="I15" t="s">
        <v>18</v>
      </c>
      <c r="J15" s="2">
        <v>62.119875698617108</v>
      </c>
      <c r="K15" s="3">
        <v>496.95900558893692</v>
      </c>
      <c r="L15" s="2">
        <v>0</v>
      </c>
      <c r="M15" s="3">
        <v>0</v>
      </c>
      <c r="N15" s="7">
        <v>11.18</v>
      </c>
      <c r="O15" s="4">
        <f t="shared" si="0"/>
        <v>89.44</v>
      </c>
      <c r="P15" s="2">
        <f t="shared" si="1"/>
        <v>73.299875698617114</v>
      </c>
      <c r="Q15" s="3">
        <f t="shared" si="2"/>
        <v>586.39900558893692</v>
      </c>
      <c r="U15">
        <f t="shared" si="3"/>
        <v>763.59369814554714</v>
      </c>
    </row>
    <row r="16" spans="1:21" x14ac:dyDescent="0.25">
      <c r="B16" t="s">
        <v>75</v>
      </c>
      <c r="D16" t="s">
        <v>20</v>
      </c>
      <c r="F16" t="s">
        <v>24</v>
      </c>
      <c r="G16">
        <v>100</v>
      </c>
      <c r="H16">
        <v>100</v>
      </c>
      <c r="I16" t="s">
        <v>18</v>
      </c>
      <c r="J16" s="2">
        <v>3.9748929265226831</v>
      </c>
      <c r="K16" s="3">
        <v>39.748929265226828</v>
      </c>
      <c r="L16" s="2">
        <v>21.687999999999999</v>
      </c>
      <c r="M16" s="3">
        <v>216.88</v>
      </c>
      <c r="N16" s="7">
        <v>30.334202999999999</v>
      </c>
      <c r="O16" s="4">
        <f t="shared" si="0"/>
        <v>303.34202999999997</v>
      </c>
      <c r="P16" s="2">
        <f t="shared" si="1"/>
        <v>55.997095926522675</v>
      </c>
      <c r="Q16" s="3">
        <f t="shared" si="2"/>
        <v>559.97095926522672</v>
      </c>
      <c r="U16">
        <f t="shared" si="3"/>
        <v>763.59369814554714</v>
      </c>
    </row>
    <row r="17" spans="2:21" x14ac:dyDescent="0.25">
      <c r="B17" t="s">
        <v>117</v>
      </c>
      <c r="D17" t="s">
        <v>20</v>
      </c>
      <c r="F17" t="s">
        <v>24</v>
      </c>
      <c r="G17">
        <v>250</v>
      </c>
      <c r="H17">
        <v>250</v>
      </c>
      <c r="I17" t="s">
        <v>18</v>
      </c>
      <c r="J17" s="2">
        <v>43.219382675254927</v>
      </c>
      <c r="K17" s="3">
        <v>172.87753070101971</v>
      </c>
      <c r="L17" s="2">
        <v>28.679999999999978</v>
      </c>
      <c r="M17" s="3">
        <v>114.7199999999999</v>
      </c>
      <c r="N17" s="7">
        <v>65</v>
      </c>
      <c r="O17" s="4">
        <f t="shared" si="0"/>
        <v>260</v>
      </c>
      <c r="P17" s="2">
        <f t="shared" si="1"/>
        <v>136.89938267525491</v>
      </c>
      <c r="Q17" s="3">
        <f t="shared" si="2"/>
        <v>547.59753070101965</v>
      </c>
      <c r="U17">
        <f t="shared" si="3"/>
        <v>763.59369814554714</v>
      </c>
    </row>
    <row r="18" spans="2:21" x14ac:dyDescent="0.25">
      <c r="B18" t="s">
        <v>92</v>
      </c>
      <c r="D18" t="s">
        <v>20</v>
      </c>
      <c r="F18" t="s">
        <v>24</v>
      </c>
      <c r="G18">
        <v>165</v>
      </c>
      <c r="H18">
        <v>165</v>
      </c>
      <c r="I18" t="s">
        <v>18</v>
      </c>
      <c r="J18" s="2">
        <v>54.764750421585163</v>
      </c>
      <c r="K18" s="3">
        <v>331.90757831263733</v>
      </c>
      <c r="L18" s="2">
        <v>23.617999999999999</v>
      </c>
      <c r="M18" s="3">
        <v>143.1393939393939</v>
      </c>
      <c r="N18" s="7">
        <v>9.5114859999999997</v>
      </c>
      <c r="O18" s="4">
        <f t="shared" si="0"/>
        <v>57.645369696969695</v>
      </c>
      <c r="P18" s="2">
        <f t="shared" si="1"/>
        <v>87.894236421585163</v>
      </c>
      <c r="Q18" s="3">
        <f t="shared" si="2"/>
        <v>532.69234194900093</v>
      </c>
      <c r="U18">
        <f t="shared" si="3"/>
        <v>763.59369814554714</v>
      </c>
    </row>
    <row r="19" spans="2:21" x14ac:dyDescent="0.25">
      <c r="B19" t="s">
        <v>126</v>
      </c>
      <c r="D19" t="s">
        <v>20</v>
      </c>
      <c r="F19" t="s">
        <v>17</v>
      </c>
      <c r="G19">
        <v>169</v>
      </c>
      <c r="H19">
        <v>169</v>
      </c>
      <c r="I19" t="s">
        <v>18</v>
      </c>
      <c r="J19" s="2">
        <v>48.960378841874778</v>
      </c>
      <c r="K19" s="3">
        <v>289.70638367973243</v>
      </c>
      <c r="L19" s="2">
        <v>0</v>
      </c>
      <c r="M19" s="3">
        <v>0</v>
      </c>
      <c r="N19" s="7">
        <v>26.652692999999999</v>
      </c>
      <c r="O19" s="4">
        <f t="shared" si="0"/>
        <v>157.7082426035503</v>
      </c>
      <c r="P19" s="2">
        <f t="shared" si="1"/>
        <v>75.613071841874785</v>
      </c>
      <c r="Q19" s="3">
        <f t="shared" si="2"/>
        <v>447.41462628328276</v>
      </c>
      <c r="U19">
        <f t="shared" si="3"/>
        <v>763.59369814554714</v>
      </c>
    </row>
    <row r="20" spans="2:21" x14ac:dyDescent="0.25">
      <c r="B20" t="s">
        <v>125</v>
      </c>
      <c r="D20" t="s">
        <v>20</v>
      </c>
      <c r="F20" t="s">
        <v>17</v>
      </c>
      <c r="G20">
        <v>188</v>
      </c>
      <c r="H20">
        <v>188</v>
      </c>
      <c r="I20" t="s">
        <v>18</v>
      </c>
      <c r="J20" s="2">
        <v>54.35616877933419</v>
      </c>
      <c r="K20" s="3">
        <v>289.128557336884</v>
      </c>
      <c r="L20" s="2">
        <v>0</v>
      </c>
      <c r="M20" s="3">
        <v>0</v>
      </c>
      <c r="N20" s="7">
        <v>26.652692999999999</v>
      </c>
      <c r="O20" s="4">
        <f t="shared" si="0"/>
        <v>141.76964361702127</v>
      </c>
      <c r="P20" s="2">
        <f t="shared" si="1"/>
        <v>81.008861779334183</v>
      </c>
      <c r="Q20" s="3">
        <f t="shared" si="2"/>
        <v>430.89820095390525</v>
      </c>
      <c r="U20">
        <f t="shared" si="3"/>
        <v>763.59369814554714</v>
      </c>
    </row>
    <row r="21" spans="2:21" x14ac:dyDescent="0.25">
      <c r="B21" t="s">
        <v>71</v>
      </c>
      <c r="D21" t="s">
        <v>20</v>
      </c>
      <c r="F21" t="s">
        <v>17</v>
      </c>
      <c r="G21">
        <v>110</v>
      </c>
      <c r="H21">
        <v>110</v>
      </c>
      <c r="I21" t="s">
        <v>18</v>
      </c>
      <c r="J21" s="2">
        <v>27.12552073429179</v>
      </c>
      <c r="K21" s="3">
        <v>246.5956430390163</v>
      </c>
      <c r="L21" s="2">
        <v>0</v>
      </c>
      <c r="M21" s="3">
        <v>0</v>
      </c>
      <c r="N21" s="7">
        <v>16.7</v>
      </c>
      <c r="O21" s="4">
        <f t="shared" si="0"/>
        <v>151.81818181818181</v>
      </c>
      <c r="P21" s="2">
        <f t="shared" si="1"/>
        <v>43.825520734291786</v>
      </c>
      <c r="Q21" s="3">
        <f t="shared" si="2"/>
        <v>398.41382485719805</v>
      </c>
      <c r="U21">
        <f t="shared" si="3"/>
        <v>763.59369814554714</v>
      </c>
    </row>
    <row r="22" spans="2:21" x14ac:dyDescent="0.25">
      <c r="B22" t="s">
        <v>76</v>
      </c>
      <c r="D22" t="s">
        <v>20</v>
      </c>
      <c r="F22" t="s">
        <v>17</v>
      </c>
      <c r="G22">
        <v>100</v>
      </c>
      <c r="H22">
        <v>100</v>
      </c>
      <c r="I22" t="s">
        <v>29</v>
      </c>
      <c r="J22" s="2">
        <v>22.18475193768111</v>
      </c>
      <c r="K22" s="3">
        <v>221.84751937681111</v>
      </c>
      <c r="L22" s="2">
        <v>0</v>
      </c>
      <c r="M22" s="3">
        <v>0</v>
      </c>
      <c r="N22" s="7">
        <v>14.67</v>
      </c>
      <c r="O22" s="4">
        <f t="shared" si="0"/>
        <v>146.69999999999999</v>
      </c>
      <c r="P22" s="2">
        <f t="shared" si="1"/>
        <v>36.854751937681108</v>
      </c>
      <c r="Q22" s="3">
        <f t="shared" si="2"/>
        <v>368.54751937681107</v>
      </c>
      <c r="U22">
        <f t="shared" si="3"/>
        <v>763.59369814554714</v>
      </c>
    </row>
    <row r="23" spans="2:21" x14ac:dyDescent="0.25">
      <c r="B23" t="s">
        <v>112</v>
      </c>
      <c r="D23" t="s">
        <v>20</v>
      </c>
      <c r="F23" t="s">
        <v>24</v>
      </c>
      <c r="G23">
        <v>450</v>
      </c>
      <c r="H23">
        <v>450</v>
      </c>
      <c r="I23" t="s">
        <v>18</v>
      </c>
      <c r="J23" s="2">
        <v>132.42004840349799</v>
      </c>
      <c r="K23" s="3">
        <v>294.26677422999558</v>
      </c>
      <c r="L23" s="2">
        <v>0</v>
      </c>
      <c r="M23" s="3">
        <v>0</v>
      </c>
      <c r="N23" s="7">
        <v>17.78</v>
      </c>
      <c r="O23" s="4">
        <f t="shared" si="0"/>
        <v>39.511111111111113</v>
      </c>
      <c r="P23" s="2">
        <f t="shared" si="1"/>
        <v>150.20004840349799</v>
      </c>
      <c r="Q23" s="3">
        <f t="shared" si="2"/>
        <v>333.77788534110664</v>
      </c>
      <c r="U23">
        <f t="shared" si="3"/>
        <v>763.59369814554714</v>
      </c>
    </row>
    <row r="24" spans="2:21" x14ac:dyDescent="0.25">
      <c r="B24" t="s">
        <v>19</v>
      </c>
      <c r="D24" t="s">
        <v>20</v>
      </c>
      <c r="F24" t="s">
        <v>17</v>
      </c>
      <c r="G24">
        <v>200</v>
      </c>
      <c r="H24">
        <v>200</v>
      </c>
      <c r="I24" t="s">
        <v>18</v>
      </c>
      <c r="J24" s="2">
        <v>36.436642976028473</v>
      </c>
      <c r="K24" s="3">
        <v>182.18321488014229</v>
      </c>
      <c r="L24" s="2">
        <v>0</v>
      </c>
      <c r="M24" s="3">
        <v>0</v>
      </c>
      <c r="N24" s="7">
        <v>18.510000000000002</v>
      </c>
      <c r="O24" s="4">
        <f t="shared" si="0"/>
        <v>92.550000000000011</v>
      </c>
      <c r="P24" s="2">
        <f t="shared" si="1"/>
        <v>54.946642976028471</v>
      </c>
      <c r="Q24" s="3">
        <f t="shared" si="2"/>
        <v>274.73321488014233</v>
      </c>
      <c r="U24">
        <f t="shared" si="3"/>
        <v>763.59369814554714</v>
      </c>
    </row>
    <row r="25" spans="2:21" x14ac:dyDescent="0.25">
      <c r="B25" t="s">
        <v>67</v>
      </c>
      <c r="D25" t="s">
        <v>20</v>
      </c>
      <c r="F25" t="s">
        <v>17</v>
      </c>
      <c r="G25">
        <v>150</v>
      </c>
      <c r="H25">
        <v>150</v>
      </c>
      <c r="I25" t="s">
        <v>18</v>
      </c>
      <c r="J25" s="2">
        <v>18.11350176074621</v>
      </c>
      <c r="K25" s="3">
        <v>120.75667840497471</v>
      </c>
      <c r="L25" s="2">
        <v>0</v>
      </c>
      <c r="M25" s="3">
        <v>0</v>
      </c>
      <c r="N25" s="7">
        <v>14.66</v>
      </c>
      <c r="O25" s="4">
        <f t="shared" si="0"/>
        <v>97.733333333333334</v>
      </c>
      <c r="P25" s="2">
        <f t="shared" si="1"/>
        <v>32.773501760746214</v>
      </c>
      <c r="Q25" s="3">
        <f t="shared" si="2"/>
        <v>218.49001173830808</v>
      </c>
      <c r="U25">
        <f t="shared" si="3"/>
        <v>763.59369814554714</v>
      </c>
    </row>
  </sheetData>
  <autoFilter ref="A1:R1" xr:uid="{00000000-0001-0000-0500-000000000000}">
    <sortState xmlns:xlrd2="http://schemas.microsoft.com/office/spreadsheetml/2017/richdata2" ref="A2:R25">
      <sortCondition descending="1" ref="Q1"/>
    </sortState>
  </autoFilter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"/>
  <sheetViews>
    <sheetView workbookViewId="0">
      <pane ySplit="1" topLeftCell="A2" activePane="bottomLeft" state="frozen"/>
      <selection pane="bottomLeft" activeCell="X37" sqref="X37"/>
    </sheetView>
  </sheetViews>
  <sheetFormatPr defaultRowHeight="15" x14ac:dyDescent="0.25"/>
  <cols>
    <col min="17" max="17" width="13" customWidth="1"/>
  </cols>
  <sheetData>
    <row r="1" spans="1:21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156</v>
      </c>
      <c r="O1" s="5" t="s">
        <v>157</v>
      </c>
      <c r="P1" s="1" t="s">
        <v>13</v>
      </c>
      <c r="Q1" s="1" t="s">
        <v>14</v>
      </c>
      <c r="R1" s="1" t="s">
        <v>159</v>
      </c>
      <c r="U1" s="1" t="s">
        <v>163</v>
      </c>
    </row>
    <row r="2" spans="1:21" x14ac:dyDescent="0.25">
      <c r="B2" t="s">
        <v>46</v>
      </c>
      <c r="D2" t="s">
        <v>47</v>
      </c>
      <c r="F2" t="s">
        <v>24</v>
      </c>
      <c r="G2">
        <v>175</v>
      </c>
      <c r="H2">
        <v>175</v>
      </c>
      <c r="I2" t="s">
        <v>18</v>
      </c>
      <c r="J2" s="2">
        <v>121.65268884382129</v>
      </c>
      <c r="K2" s="3">
        <v>695.15822196469287</v>
      </c>
      <c r="L2" s="2">
        <v>67.523999999999987</v>
      </c>
      <c r="M2" s="3">
        <v>385.85142857142853</v>
      </c>
      <c r="N2" s="7">
        <v>24.504999999999999</v>
      </c>
      <c r="O2" s="4">
        <f t="shared" ref="O2:O8" si="0">(N2/G2)*1000</f>
        <v>140.02857142857141</v>
      </c>
      <c r="P2" s="2">
        <f t="shared" ref="P2:P8" si="1">SUM(J2,L2,N2)</f>
        <v>213.68168884382129</v>
      </c>
      <c r="Q2" s="3">
        <f t="shared" ref="Q2:Q8" si="2">(P2/G2)*1000</f>
        <v>1221.0382219646931</v>
      </c>
      <c r="U2">
        <f t="shared" ref="U2:U8" si="3">AVERAGEIF($D$2:$D$122, "TX", $Q$2:$Q$122)</f>
        <v>449.5778779028924</v>
      </c>
    </row>
    <row r="3" spans="1:21" x14ac:dyDescent="0.25">
      <c r="B3" t="s">
        <v>106</v>
      </c>
      <c r="D3" t="s">
        <v>47</v>
      </c>
      <c r="F3" t="s">
        <v>24</v>
      </c>
      <c r="G3">
        <v>100</v>
      </c>
      <c r="H3">
        <v>100</v>
      </c>
      <c r="I3" t="s">
        <v>18</v>
      </c>
      <c r="J3" s="2">
        <v>4.5413640630066174</v>
      </c>
      <c r="K3" s="3">
        <v>45.413640630066169</v>
      </c>
      <c r="L3" s="2">
        <v>41.962000000000003</v>
      </c>
      <c r="M3" s="3">
        <v>419.62000000000012</v>
      </c>
      <c r="N3" s="7">
        <v>25.934000000000001</v>
      </c>
      <c r="O3" s="4">
        <f t="shared" si="0"/>
        <v>259.34000000000003</v>
      </c>
      <c r="P3" s="2">
        <f t="shared" si="1"/>
        <v>72.437364063006626</v>
      </c>
      <c r="Q3" s="3">
        <f t="shared" si="2"/>
        <v>724.37364063006623</v>
      </c>
      <c r="U3">
        <f t="shared" si="3"/>
        <v>449.5778779028924</v>
      </c>
    </row>
    <row r="4" spans="1:21" x14ac:dyDescent="0.25">
      <c r="B4" t="s">
        <v>143</v>
      </c>
      <c r="D4" t="s">
        <v>47</v>
      </c>
      <c r="F4" t="s">
        <v>24</v>
      </c>
      <c r="G4">
        <v>200</v>
      </c>
      <c r="H4">
        <v>200</v>
      </c>
      <c r="I4" t="s">
        <v>31</v>
      </c>
      <c r="J4" s="2">
        <v>28.015755997483371</v>
      </c>
      <c r="K4" s="3">
        <v>140.07877998741691</v>
      </c>
      <c r="L4" s="2">
        <v>85.657000000000011</v>
      </c>
      <c r="M4" s="3">
        <v>428.28500000000003</v>
      </c>
      <c r="N4" s="7">
        <v>15.212999999999999</v>
      </c>
      <c r="O4" s="4">
        <f t="shared" si="0"/>
        <v>76.064999999999998</v>
      </c>
      <c r="P4" s="2">
        <f t="shared" si="1"/>
        <v>128.88575599748339</v>
      </c>
      <c r="Q4" s="3">
        <f t="shared" si="2"/>
        <v>644.42877998741687</v>
      </c>
      <c r="U4">
        <f t="shared" si="3"/>
        <v>449.5778779028924</v>
      </c>
    </row>
    <row r="5" spans="1:21" x14ac:dyDescent="0.25">
      <c r="B5" t="s">
        <v>124</v>
      </c>
      <c r="D5" t="s">
        <v>47</v>
      </c>
      <c r="F5" t="s">
        <v>24</v>
      </c>
      <c r="G5">
        <v>300</v>
      </c>
      <c r="H5">
        <v>300</v>
      </c>
      <c r="I5" t="s">
        <v>18</v>
      </c>
      <c r="J5" s="2">
        <v>33.958966492969878</v>
      </c>
      <c r="K5" s="3">
        <v>113.1965549765663</v>
      </c>
      <c r="L5" s="2">
        <v>0</v>
      </c>
      <c r="M5" s="3">
        <v>0</v>
      </c>
      <c r="N5" s="7">
        <v>21.745999999999999</v>
      </c>
      <c r="O5" s="4">
        <f t="shared" si="0"/>
        <v>72.486666666666665</v>
      </c>
      <c r="P5" s="2">
        <f t="shared" si="1"/>
        <v>55.704966492969874</v>
      </c>
      <c r="Q5" s="3">
        <f t="shared" si="2"/>
        <v>185.68322164323291</v>
      </c>
      <c r="U5">
        <f t="shared" si="3"/>
        <v>449.5778779028924</v>
      </c>
    </row>
    <row r="6" spans="1:21" x14ac:dyDescent="0.25">
      <c r="B6" t="s">
        <v>73</v>
      </c>
      <c r="D6" t="s">
        <v>47</v>
      </c>
      <c r="F6" t="s">
        <v>24</v>
      </c>
      <c r="G6">
        <v>170</v>
      </c>
      <c r="H6">
        <v>170</v>
      </c>
      <c r="I6" t="s">
        <v>18</v>
      </c>
      <c r="J6" s="2">
        <v>7.499736634845668</v>
      </c>
      <c r="K6" s="3">
        <v>44.116097852033342</v>
      </c>
      <c r="L6" s="2">
        <v>0</v>
      </c>
      <c r="M6" s="3">
        <v>0</v>
      </c>
      <c r="N6" s="7">
        <v>20.206</v>
      </c>
      <c r="O6" s="4">
        <f t="shared" si="0"/>
        <v>118.85882352941177</v>
      </c>
      <c r="P6" s="2">
        <f t="shared" si="1"/>
        <v>27.705736634845668</v>
      </c>
      <c r="Q6" s="3">
        <f t="shared" si="2"/>
        <v>162.97492138144509</v>
      </c>
      <c r="U6">
        <f t="shared" si="3"/>
        <v>449.5778779028924</v>
      </c>
    </row>
    <row r="7" spans="1:21" x14ac:dyDescent="0.25">
      <c r="B7" t="s">
        <v>54</v>
      </c>
      <c r="D7" t="s">
        <v>47</v>
      </c>
      <c r="F7" t="s">
        <v>24</v>
      </c>
      <c r="G7">
        <v>180</v>
      </c>
      <c r="H7">
        <v>180</v>
      </c>
      <c r="I7" t="s">
        <v>29</v>
      </c>
      <c r="J7" s="2">
        <v>7.9974238704206799</v>
      </c>
      <c r="K7" s="3">
        <v>44.430132613448222</v>
      </c>
      <c r="L7" s="2">
        <v>0</v>
      </c>
      <c r="M7" s="3">
        <v>0</v>
      </c>
      <c r="N7" s="7">
        <v>12.635999999999999</v>
      </c>
      <c r="O7" s="4">
        <f t="shared" si="0"/>
        <v>70.2</v>
      </c>
      <c r="P7" s="2">
        <f t="shared" si="1"/>
        <v>20.633423870420678</v>
      </c>
      <c r="Q7" s="3">
        <f t="shared" si="2"/>
        <v>114.63013261344823</v>
      </c>
      <c r="U7">
        <f t="shared" si="3"/>
        <v>449.5778779028924</v>
      </c>
    </row>
    <row r="8" spans="1:21" x14ac:dyDescent="0.25">
      <c r="B8" t="s">
        <v>97</v>
      </c>
      <c r="D8" t="s">
        <v>47</v>
      </c>
      <c r="F8" t="s">
        <v>17</v>
      </c>
      <c r="G8">
        <v>150</v>
      </c>
      <c r="H8">
        <v>150</v>
      </c>
      <c r="I8" t="s">
        <v>29</v>
      </c>
      <c r="J8" s="2">
        <v>9.5234340649915765</v>
      </c>
      <c r="K8" s="3">
        <v>63.489560433277177</v>
      </c>
      <c r="L8" s="2">
        <v>0</v>
      </c>
      <c r="M8" s="3">
        <v>0</v>
      </c>
      <c r="N8" s="7">
        <v>4.5640000000000001</v>
      </c>
      <c r="O8" s="4">
        <f t="shared" si="0"/>
        <v>30.426666666666669</v>
      </c>
      <c r="P8" s="2">
        <f t="shared" si="1"/>
        <v>14.087434064991577</v>
      </c>
      <c r="Q8" s="3">
        <f t="shared" si="2"/>
        <v>93.916227099943853</v>
      </c>
      <c r="U8">
        <f t="shared" si="3"/>
        <v>449.5778779028924</v>
      </c>
    </row>
  </sheetData>
  <autoFilter ref="A1:R1" xr:uid="{00000000-0001-0000-0600-000000000000}">
    <sortState xmlns:xlrd2="http://schemas.microsoft.com/office/spreadsheetml/2017/richdata2" ref="A2:R8">
      <sortCondition descending="1" ref="Q1"/>
    </sortState>
  </autoFilter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ProjectCost</vt:lpstr>
      <vt:lpstr>StateAvg</vt:lpstr>
      <vt:lpstr>ProjectCost_Sorted</vt:lpstr>
      <vt:lpstr>State_AR</vt:lpstr>
      <vt:lpstr>State_LA</vt:lpstr>
      <vt:lpstr>State_MS</vt:lpstr>
      <vt:lpstr>State_TX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Connor Sagan</cp:lastModifiedBy>
  <cp:revision/>
  <dcterms:created xsi:type="dcterms:W3CDTF">2026-05-04T02:52:37Z</dcterms:created>
  <dcterms:modified xsi:type="dcterms:W3CDTF">2026-06-29T19:20:29Z</dcterms:modified>
  <cp:category/>
  <cp:contentStatus/>
</cp:coreProperties>
</file>